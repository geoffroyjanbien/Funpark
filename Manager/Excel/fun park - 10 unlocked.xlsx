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8001_{071425BF-A561-42B2-82CB-4934A92452CA}" xr6:coauthVersionLast="47" xr6:coauthVersionMax="47" xr10:uidLastSave="{00000000-0000-0000-0000-000000000000}"/>
  <bookViews>
    <workbookView xWindow="3340" yWindow="3340" windowWidth="21600" windowHeight="12670" tabRatio="851" firstSheet="7" activeTab="32" xr2:uid="{00000000-000D-0000-FFFF-FFFF00000000}"/>
  </bookViews>
  <sheets>
    <sheet name="nas" sheetId="5" r:id="rId1"/>
    <sheet name="الرئيسية" sheetId="39" r:id="rId2"/>
    <sheet name="1" sheetId="4" r:id="rId3"/>
    <sheet name="2" sheetId="7" r:id="rId4"/>
    <sheet name="3" sheetId="8" r:id="rId5"/>
    <sheet name="4" sheetId="9" r:id="rId6"/>
    <sheet name="5" sheetId="18" r:id="rId7"/>
    <sheet name=" 6" sheetId="17" r:id="rId8"/>
    <sheet name="7" sheetId="16" r:id="rId9"/>
    <sheet name="8" sheetId="15" r:id="rId10"/>
    <sheet name="9" sheetId="14" r:id="rId11"/>
    <sheet name="10" sheetId="13" r:id="rId12"/>
    <sheet name="11" sheetId="12" r:id="rId13"/>
    <sheet name="12" sheetId="11" r:id="rId14"/>
    <sheet name="13" sheetId="10" r:id="rId15"/>
    <sheet name="14" sheetId="20" r:id="rId16"/>
    <sheet name="15" sheetId="19" r:id="rId17"/>
    <sheet name="16" sheetId="23" r:id="rId18"/>
    <sheet name="17" sheetId="22" r:id="rId19"/>
    <sheet name="18" sheetId="21" r:id="rId20"/>
    <sheet name="19" sheetId="24" r:id="rId21"/>
    <sheet name="20" sheetId="25" r:id="rId22"/>
    <sheet name="21" sheetId="26" r:id="rId23"/>
    <sheet name="22" sheetId="29" r:id="rId24"/>
    <sheet name="23" sheetId="30" r:id="rId25"/>
    <sheet name="24" sheetId="31" r:id="rId26"/>
    <sheet name="25" sheetId="32" r:id="rId27"/>
    <sheet name="26" sheetId="33" r:id="rId28"/>
    <sheet name="27" sheetId="34" r:id="rId29"/>
    <sheet name="28" sheetId="35" r:id="rId30"/>
    <sheet name="29" sheetId="36" r:id="rId31"/>
    <sheet name="30" sheetId="37" r:id="rId32"/>
    <sheet name="31" sheetId="27" r:id="rId33"/>
    <sheet name="ايام" sheetId="28" r:id="rId34"/>
    <sheet name="كميات" sheetId="44" r:id="rId35"/>
    <sheet name="مجموع" sheetId="38" r:id="rId36"/>
    <sheet name="دراسة" sheetId="40" r:id="rId37"/>
    <sheet name="سلف" sheetId="2" r:id="rId38"/>
    <sheet name="حيدر" sheetId="3" r:id="rId39"/>
    <sheet name="مسحوبات" sheetId="43" r:id="rId40"/>
  </sheets>
  <definedNames>
    <definedName name="_xlnm._FilterDatabase" localSheetId="7" hidden="1">' 6'!$C$12:$E$35</definedName>
    <definedName name="_xlnm._FilterDatabase" localSheetId="2" hidden="1">'1'!$C$12:$E$35</definedName>
    <definedName name="_xlnm._FilterDatabase" localSheetId="11" hidden="1">'10'!$C$12:$E$35</definedName>
    <definedName name="_xlnm._FilterDatabase" localSheetId="12" hidden="1">'11'!$C$12:$E$35</definedName>
    <definedName name="_xlnm._FilterDatabase" localSheetId="13" hidden="1">'12'!$C$12:$E$35</definedName>
    <definedName name="_xlnm._FilterDatabase" localSheetId="14" hidden="1">'13'!$C$12:$E$35</definedName>
    <definedName name="_xlnm._FilterDatabase" localSheetId="15" hidden="1">'14'!$C$12:$E$35</definedName>
    <definedName name="_xlnm._FilterDatabase" localSheetId="16" hidden="1">'15'!$C$12:$E$35</definedName>
    <definedName name="_xlnm._FilterDatabase" localSheetId="17" hidden="1">'16'!$C$12:$E$35</definedName>
    <definedName name="_xlnm._FilterDatabase" localSheetId="18" hidden="1">'17'!$C$12:$E$35</definedName>
    <definedName name="_xlnm._FilterDatabase" localSheetId="19" hidden="1">'18'!$C$12:$E$35</definedName>
    <definedName name="_xlnm._FilterDatabase" localSheetId="20" hidden="1">'19'!$C$12:$E$35</definedName>
    <definedName name="_xlnm._FilterDatabase" localSheetId="3" hidden="1">'2'!$C$12:$E$35</definedName>
    <definedName name="_xlnm._FilterDatabase" localSheetId="21" hidden="1">'20'!$C$12:$E$35</definedName>
    <definedName name="_xlnm._FilterDatabase" localSheetId="22" hidden="1">'21'!$C$12:$E$35</definedName>
    <definedName name="_xlnm._FilterDatabase" localSheetId="23" hidden="1">'22'!$C$12:$E$35</definedName>
    <definedName name="_xlnm._FilterDatabase" localSheetId="24" hidden="1">'23'!$C$12:$E$35</definedName>
    <definedName name="_xlnm._FilterDatabase" localSheetId="25" hidden="1">'24'!$C$12:$E$35</definedName>
    <definedName name="_xlnm._FilterDatabase" localSheetId="26" hidden="1">'25'!$C$12:$E$35</definedName>
    <definedName name="_xlnm._FilterDatabase" localSheetId="27" hidden="1">'26'!$C$12:$E$35</definedName>
    <definedName name="_xlnm._FilterDatabase" localSheetId="28" hidden="1">'27'!$C$12:$E$35</definedName>
    <definedName name="_xlnm._FilterDatabase" localSheetId="29" hidden="1">'28'!$C$12:$E$35</definedName>
    <definedName name="_xlnm._FilterDatabase" localSheetId="30" hidden="1">'29'!$C$12:$E$35</definedName>
    <definedName name="_xlnm._FilterDatabase" localSheetId="4" hidden="1">'3'!$C$12:$E$35</definedName>
    <definedName name="_xlnm._FilterDatabase" localSheetId="31" hidden="1">'30'!$C$12:$E$35</definedName>
    <definedName name="_xlnm._FilterDatabase" localSheetId="32" hidden="1">'31'!$C$12:$E$35</definedName>
    <definedName name="_xlnm._FilterDatabase" localSheetId="5" hidden="1">'4'!$C$12:$E$35</definedName>
    <definedName name="_xlnm._FilterDatabase" localSheetId="6" hidden="1">'5'!$C$12:$E$35</definedName>
    <definedName name="_xlnm._FilterDatabase" localSheetId="8" hidden="1">'7'!$C$12:$E$35</definedName>
    <definedName name="_xlnm._FilterDatabase" localSheetId="9" hidden="1">'8'!$C$12:$E$35</definedName>
    <definedName name="_xlnm._FilterDatabase" localSheetId="10" hidden="1">'9'!$C$12:$E$35</definedName>
    <definedName name="_xlnm._FilterDatabase" localSheetId="0" hidden="1">nas!$C$12:$E$35</definedName>
    <definedName name="_xlnm._FilterDatabase" localSheetId="33" hidden="1">ايام!$C$11:$AH$34</definedName>
    <definedName name="_xlnm._FilterDatabase" localSheetId="37" hidden="1">سلف!$A$1:$C$75</definedName>
    <definedName name="_xlnm._FilterDatabase" localSheetId="35" hidden="1">مجموع!$C$12:$D$35</definedName>
  </definedNames>
  <calcPr calcId="191029"/>
  <pivotCaches>
    <pivotCache cacheId="0" r:id="rId4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1" l="1"/>
  <c r="C32" i="37" l="1"/>
  <c r="B60" i="2"/>
  <c r="C32" i="27"/>
  <c r="C10" i="27" l="1"/>
  <c r="C31" i="36"/>
  <c r="C15" i="36"/>
  <c r="C35" i="35"/>
  <c r="C17" i="34"/>
  <c r="C19" i="33"/>
  <c r="C19" i="32"/>
  <c r="C28" i="32"/>
  <c r="C30" i="30"/>
  <c r="C31" i="29"/>
  <c r="C23" i="25"/>
  <c r="C32" i="25"/>
  <c r="C30" i="24"/>
  <c r="C19" i="24"/>
  <c r="C31" i="21"/>
  <c r="C13" i="21"/>
  <c r="C31" i="23"/>
  <c r="C30" i="20"/>
  <c r="C31" i="20"/>
  <c r="C35" i="11"/>
  <c r="C31" i="11"/>
  <c r="C19" i="13"/>
  <c r="C13" i="13"/>
  <c r="C31" i="13"/>
  <c r="C28" i="15"/>
  <c r="C31" i="15"/>
  <c r="C31" i="16" l="1"/>
  <c r="C17" i="16"/>
  <c r="C30" i="17"/>
  <c r="C26" i="17"/>
  <c r="C21" i="17"/>
  <c r="C19" i="18"/>
  <c r="C30" i="9"/>
  <c r="C19" i="7"/>
  <c r="C13" i="7"/>
  <c r="C8" i="27"/>
  <c r="C8" i="7"/>
  <c r="C32" i="7"/>
  <c r="E38" i="3"/>
  <c r="E7" i="21" l="1"/>
  <c r="D8" i="18" l="1"/>
  <c r="D8" i="9"/>
  <c r="D8" i="17"/>
  <c r="D8" i="15"/>
  <c r="D8" i="14"/>
  <c r="D8" i="11"/>
  <c r="D8" i="20"/>
  <c r="D8" i="23"/>
  <c r="D8" i="22"/>
  <c r="D8" i="25"/>
  <c r="D8" i="29"/>
  <c r="D8" i="31"/>
  <c r="D8" i="32"/>
  <c r="D8" i="35"/>
  <c r="D8" i="37"/>
  <c r="D8" i="4"/>
  <c r="D10" i="7"/>
  <c r="D9" i="7"/>
  <c r="D8" i="7"/>
  <c r="D7" i="7"/>
  <c r="D10" i="8"/>
  <c r="D9" i="8"/>
  <c r="D8" i="8"/>
  <c r="D7" i="8"/>
  <c r="D10" i="9"/>
  <c r="D9" i="9"/>
  <c r="D7" i="9"/>
  <c r="D10" i="18"/>
  <c r="D9" i="18"/>
  <c r="D7" i="18"/>
  <c r="D10" i="17"/>
  <c r="D9" i="17"/>
  <c r="D7" i="17"/>
  <c r="D10" i="16"/>
  <c r="D9" i="16"/>
  <c r="D8" i="16"/>
  <c r="D7" i="16"/>
  <c r="D10" i="15"/>
  <c r="D9" i="15"/>
  <c r="D7" i="15"/>
  <c r="D10" i="14"/>
  <c r="D9" i="14"/>
  <c r="D7" i="14"/>
  <c r="D10" i="13"/>
  <c r="D9" i="13"/>
  <c r="D8" i="13"/>
  <c r="D7" i="13"/>
  <c r="D10" i="12"/>
  <c r="D9" i="12"/>
  <c r="D8" i="12"/>
  <c r="D7" i="12"/>
  <c r="D10" i="11"/>
  <c r="D9" i="11"/>
  <c r="D7" i="11"/>
  <c r="D10" i="10"/>
  <c r="D9" i="10"/>
  <c r="D8" i="10"/>
  <c r="D7" i="10"/>
  <c r="D10" i="20"/>
  <c r="D9" i="20"/>
  <c r="D7" i="20"/>
  <c r="D10" i="19"/>
  <c r="D9" i="19"/>
  <c r="D8" i="19"/>
  <c r="D7" i="19"/>
  <c r="D10" i="23"/>
  <c r="D9" i="23"/>
  <c r="D7" i="23"/>
  <c r="D10" i="22"/>
  <c r="D9" i="22"/>
  <c r="D7" i="22"/>
  <c r="D10" i="21"/>
  <c r="D9" i="21"/>
  <c r="D8" i="21"/>
  <c r="D7" i="21"/>
  <c r="D10" i="24"/>
  <c r="D9" i="24"/>
  <c r="D8" i="24"/>
  <c r="D7" i="24"/>
  <c r="D10" i="25"/>
  <c r="D9" i="25"/>
  <c r="D7" i="25"/>
  <c r="D10" i="26"/>
  <c r="D9" i="26"/>
  <c r="D8" i="26"/>
  <c r="D7" i="26"/>
  <c r="D10" i="29"/>
  <c r="D9" i="29"/>
  <c r="D7" i="29"/>
  <c r="D10" i="30"/>
  <c r="D9" i="30"/>
  <c r="D8" i="30"/>
  <c r="D7" i="30"/>
  <c r="D10" i="31"/>
  <c r="D9" i="31"/>
  <c r="D7" i="31"/>
  <c r="D10" i="32"/>
  <c r="D9" i="32"/>
  <c r="D7" i="32"/>
  <c r="D10" i="33"/>
  <c r="D9" i="33"/>
  <c r="D8" i="33"/>
  <c r="D7" i="33"/>
  <c r="D10" i="34"/>
  <c r="D9" i="34"/>
  <c r="D8" i="34"/>
  <c r="D7" i="34"/>
  <c r="D10" i="35"/>
  <c r="D9" i="35"/>
  <c r="D7" i="35"/>
  <c r="D10" i="36"/>
  <c r="D9" i="36"/>
  <c r="D8" i="36"/>
  <c r="D7" i="36"/>
  <c r="D10" i="37"/>
  <c r="D9" i="37"/>
  <c r="D7" i="37"/>
  <c r="D10" i="27"/>
  <c r="D9" i="27"/>
  <c r="D8" i="27"/>
  <c r="D7" i="27"/>
  <c r="D10" i="4"/>
  <c r="D9" i="4"/>
  <c r="D7" i="4"/>
  <c r="D6" i="7"/>
  <c r="D6" i="8"/>
  <c r="D6" i="9"/>
  <c r="D6" i="18"/>
  <c r="D6" i="17"/>
  <c r="D6" i="16"/>
  <c r="D6" i="15"/>
  <c r="D6" i="14"/>
  <c r="D6" i="13"/>
  <c r="D6" i="12"/>
  <c r="D6" i="11"/>
  <c r="D6" i="10"/>
  <c r="D6" i="20"/>
  <c r="D6" i="19"/>
  <c r="D6" i="23"/>
  <c r="D6" i="22"/>
  <c r="D6" i="21"/>
  <c r="D6" i="24"/>
  <c r="D6" i="25"/>
  <c r="D6" i="26"/>
  <c r="D6" i="29"/>
  <c r="D6" i="30"/>
  <c r="D6" i="31"/>
  <c r="D6" i="32"/>
  <c r="D6" i="33"/>
  <c r="D6" i="34"/>
  <c r="D6" i="35"/>
  <c r="D6" i="36"/>
  <c r="D6" i="37"/>
  <c r="D6" i="27"/>
  <c r="D6" i="4"/>
  <c r="C12" i="43" l="1"/>
  <c r="A12" i="43"/>
  <c r="B61" i="2" l="1"/>
  <c r="B80" i="2" s="1"/>
  <c r="E7" i="4" l="1"/>
  <c r="E7" i="27"/>
  <c r="E7" i="37"/>
  <c r="E7" i="36"/>
  <c r="E7" i="35"/>
  <c r="E7" i="34"/>
  <c r="E7" i="33"/>
  <c r="E7" i="32"/>
  <c r="E7" i="31"/>
  <c r="E7" i="30"/>
  <c r="E7" i="29"/>
  <c r="E7" i="26"/>
  <c r="E7" i="25"/>
  <c r="E7" i="24"/>
  <c r="E7" i="22"/>
  <c r="E7" i="23"/>
  <c r="E7" i="19"/>
  <c r="E7" i="20"/>
  <c r="E7" i="10"/>
  <c r="E7" i="11"/>
  <c r="E7" i="12"/>
  <c r="E7" i="13"/>
  <c r="E7" i="14"/>
  <c r="E7" i="15"/>
  <c r="E7" i="16"/>
  <c r="E7" i="17"/>
  <c r="E7" i="18"/>
  <c r="E7" i="9"/>
  <c r="E7" i="8"/>
  <c r="E7" i="7"/>
  <c r="AG10" i="44" l="1"/>
  <c r="AF10" i="44"/>
  <c r="AE10" i="44"/>
  <c r="AD10" i="44"/>
  <c r="AC10" i="44"/>
  <c r="AB10" i="44"/>
  <c r="AA10" i="44"/>
  <c r="Z10" i="44"/>
  <c r="Y10" i="44"/>
  <c r="X10" i="44"/>
  <c r="W10" i="44"/>
  <c r="V10" i="44"/>
  <c r="U10" i="44"/>
  <c r="T10" i="44"/>
  <c r="S10" i="44"/>
  <c r="R10" i="44"/>
  <c r="Q10" i="44"/>
  <c r="P10" i="44"/>
  <c r="O10" i="44"/>
  <c r="N10" i="44"/>
  <c r="M10" i="44"/>
  <c r="L10" i="44"/>
  <c r="K10" i="44"/>
  <c r="J10" i="44"/>
  <c r="I10" i="44"/>
  <c r="H10" i="44"/>
  <c r="G10" i="44"/>
  <c r="F10" i="44"/>
  <c r="E10" i="44"/>
  <c r="D10" i="44"/>
  <c r="C10" i="44"/>
  <c r="AG9" i="44"/>
  <c r="AF9" i="44"/>
  <c r="AE9" i="44"/>
  <c r="AD9" i="44"/>
  <c r="AC9" i="44"/>
  <c r="AB9" i="44"/>
  <c r="AA9" i="44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AG8" i="44"/>
  <c r="AF8" i="44"/>
  <c r="AE8" i="44"/>
  <c r="AD8" i="44"/>
  <c r="AC8" i="44"/>
  <c r="AB8" i="44"/>
  <c r="AA8" i="44"/>
  <c r="Z8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G7" i="44"/>
  <c r="AF7" i="44"/>
  <c r="AE7" i="44"/>
  <c r="AD7" i="44"/>
  <c r="AC7" i="44"/>
  <c r="AB7" i="44"/>
  <c r="AA7" i="44"/>
  <c r="Z7" i="44"/>
  <c r="Y7" i="44"/>
  <c r="X7" i="44"/>
  <c r="W7" i="44"/>
  <c r="V7" i="44"/>
  <c r="U7" i="44"/>
  <c r="T7" i="44"/>
  <c r="S7" i="44"/>
  <c r="R7" i="44"/>
  <c r="Q7" i="44"/>
  <c r="P7" i="44"/>
  <c r="O7" i="44"/>
  <c r="N7" i="44"/>
  <c r="M7" i="44"/>
  <c r="L7" i="44"/>
  <c r="K7" i="44"/>
  <c r="J7" i="44"/>
  <c r="I7" i="44"/>
  <c r="H7" i="44"/>
  <c r="G7" i="44"/>
  <c r="F7" i="44"/>
  <c r="E7" i="44"/>
  <c r="D7" i="44"/>
  <c r="C7" i="44"/>
  <c r="T6" i="44"/>
  <c r="S6" i="44"/>
  <c r="R6" i="44"/>
  <c r="Q6" i="44"/>
  <c r="P6" i="44"/>
  <c r="O6" i="44"/>
  <c r="N6" i="44"/>
  <c r="M6" i="44"/>
  <c r="L6" i="44"/>
  <c r="K6" i="44"/>
  <c r="J6" i="44"/>
  <c r="I6" i="44"/>
  <c r="H6" i="44"/>
  <c r="G6" i="44"/>
  <c r="F6" i="44"/>
  <c r="E6" i="44"/>
  <c r="D6" i="44"/>
  <c r="C6" i="44"/>
  <c r="AG5" i="44"/>
  <c r="AF5" i="44"/>
  <c r="AE5" i="44"/>
  <c r="AD5" i="44"/>
  <c r="AC5" i="44"/>
  <c r="AB5" i="44"/>
  <c r="AA5" i="44"/>
  <c r="Z5" i="44"/>
  <c r="Y5" i="44"/>
  <c r="X5" i="44"/>
  <c r="W5" i="44"/>
  <c r="V5" i="44"/>
  <c r="U5" i="44"/>
  <c r="T5" i="44"/>
  <c r="S5" i="44"/>
  <c r="R5" i="44"/>
  <c r="Q5" i="44"/>
  <c r="P5" i="44"/>
  <c r="O5" i="44"/>
  <c r="N5" i="44"/>
  <c r="M5" i="44"/>
  <c r="L5" i="44"/>
  <c r="K5" i="44"/>
  <c r="J5" i="44"/>
  <c r="I5" i="44"/>
  <c r="H5" i="44"/>
  <c r="G5" i="44"/>
  <c r="F5" i="44"/>
  <c r="E5" i="44"/>
  <c r="D5" i="44"/>
  <c r="C5" i="44"/>
  <c r="AI9" i="44" l="1"/>
  <c r="C7" i="40" s="1"/>
  <c r="AI7" i="44"/>
  <c r="C5" i="40" s="1"/>
  <c r="AI5" i="44"/>
  <c r="C3" i="40" s="1"/>
  <c r="AI10" i="44"/>
  <c r="AI8" i="44"/>
  <c r="C6" i="40" s="1"/>
  <c r="U6" i="44" l="1"/>
  <c r="V6" i="44"/>
  <c r="W6" i="44"/>
  <c r="X6" i="44"/>
  <c r="Y6" i="44"/>
  <c r="Z6" i="44"/>
  <c r="AA6" i="44"/>
  <c r="AB6" i="44"/>
  <c r="AC6" i="44"/>
  <c r="AD6" i="44"/>
  <c r="AE6" i="44"/>
  <c r="AF6" i="44"/>
  <c r="AG6" i="44"/>
  <c r="AI6" i="44" l="1"/>
  <c r="C4" i="40" s="1"/>
  <c r="D40" i="4" l="1"/>
  <c r="D33" i="27" l="1"/>
  <c r="C80" i="2" l="1"/>
  <c r="D16" i="13" l="1"/>
  <c r="B102" i="2" l="1"/>
  <c r="B111" i="2" l="1"/>
  <c r="B109" i="2"/>
  <c r="E1" i="3" l="1"/>
  <c r="E9" i="3"/>
  <c r="B5" i="3" l="1"/>
  <c r="B114" i="2" l="1"/>
  <c r="B115" i="2" s="1"/>
  <c r="A32" i="40" l="1"/>
  <c r="A33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11" i="40"/>
  <c r="AG32" i="28"/>
  <c r="AG11" i="28"/>
  <c r="AF11" i="28"/>
  <c r="AE11" i="28"/>
  <c r="AD11" i="28"/>
  <c r="AC11" i="28"/>
  <c r="AB11" i="28"/>
  <c r="AA11" i="28"/>
  <c r="Z11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C37" i="37"/>
  <c r="E35" i="37"/>
  <c r="D35" i="37"/>
  <c r="AF34" i="28" s="1"/>
  <c r="E34" i="37"/>
  <c r="D34" i="37"/>
  <c r="AF33" i="28" s="1"/>
  <c r="E33" i="37"/>
  <c r="D33" i="37"/>
  <c r="AF32" i="28" s="1"/>
  <c r="E32" i="37"/>
  <c r="D32" i="37"/>
  <c r="AF31" i="28" s="1"/>
  <c r="AF42" i="28" s="1"/>
  <c r="E31" i="37"/>
  <c r="D31" i="37"/>
  <c r="AF30" i="28" s="1"/>
  <c r="E30" i="37"/>
  <c r="D30" i="37"/>
  <c r="AF29" i="28" s="1"/>
  <c r="E29" i="37"/>
  <c r="D29" i="37"/>
  <c r="AF28" i="28" s="1"/>
  <c r="E28" i="37"/>
  <c r="D28" i="37"/>
  <c r="AF27" i="28" s="1"/>
  <c r="E27" i="37"/>
  <c r="D27" i="37"/>
  <c r="AF26" i="28" s="1"/>
  <c r="E26" i="37"/>
  <c r="D26" i="37"/>
  <c r="AF25" i="28" s="1"/>
  <c r="E25" i="37"/>
  <c r="D25" i="37"/>
  <c r="AF24" i="28" s="1"/>
  <c r="E24" i="37"/>
  <c r="D24" i="37"/>
  <c r="AF23" i="28" s="1"/>
  <c r="E23" i="37"/>
  <c r="D23" i="37"/>
  <c r="AF22" i="28" s="1"/>
  <c r="E22" i="37"/>
  <c r="D22" i="37"/>
  <c r="AF21" i="28" s="1"/>
  <c r="E21" i="37"/>
  <c r="D21" i="37"/>
  <c r="AF20" i="28" s="1"/>
  <c r="E20" i="37"/>
  <c r="D20" i="37"/>
  <c r="AF19" i="28" s="1"/>
  <c r="E19" i="37"/>
  <c r="D19" i="37"/>
  <c r="AF18" i="28" s="1"/>
  <c r="E18" i="37"/>
  <c r="D18" i="37"/>
  <c r="AF17" i="28" s="1"/>
  <c r="E17" i="37"/>
  <c r="D17" i="37"/>
  <c r="AF16" i="28" s="1"/>
  <c r="E16" i="37"/>
  <c r="D16" i="37"/>
  <c r="AF15" i="28" s="1"/>
  <c r="E15" i="37"/>
  <c r="D15" i="37"/>
  <c r="AF14" i="28" s="1"/>
  <c r="E14" i="37"/>
  <c r="D14" i="37"/>
  <c r="AF13" i="28" s="1"/>
  <c r="E13" i="37"/>
  <c r="D13" i="37"/>
  <c r="AF12" i="28" s="1"/>
  <c r="C11" i="37"/>
  <c r="G11" i="37" s="1"/>
  <c r="AF9" i="28"/>
  <c r="AF8" i="28"/>
  <c r="AF7" i="28"/>
  <c r="AF6" i="28"/>
  <c r="AF5" i="28"/>
  <c r="C37" i="36"/>
  <c r="E35" i="36"/>
  <c r="D35" i="36"/>
  <c r="AE34" i="28" s="1"/>
  <c r="E34" i="36"/>
  <c r="D34" i="36"/>
  <c r="AE33" i="28" s="1"/>
  <c r="E33" i="36"/>
  <c r="D33" i="36"/>
  <c r="AE32" i="28" s="1"/>
  <c r="E32" i="36"/>
  <c r="D32" i="36"/>
  <c r="AE31" i="28" s="1"/>
  <c r="AE42" i="28" s="1"/>
  <c r="E31" i="36"/>
  <c r="D31" i="36"/>
  <c r="AE30" i="28" s="1"/>
  <c r="E30" i="36"/>
  <c r="D30" i="36"/>
  <c r="AE29" i="28" s="1"/>
  <c r="E29" i="36"/>
  <c r="D29" i="36"/>
  <c r="AE28" i="28" s="1"/>
  <c r="E28" i="36"/>
  <c r="D28" i="36"/>
  <c r="AE27" i="28" s="1"/>
  <c r="E27" i="36"/>
  <c r="D27" i="36"/>
  <c r="AE26" i="28" s="1"/>
  <c r="E26" i="36"/>
  <c r="D26" i="36"/>
  <c r="AE25" i="28" s="1"/>
  <c r="E25" i="36"/>
  <c r="D25" i="36"/>
  <c r="AE24" i="28" s="1"/>
  <c r="E24" i="36"/>
  <c r="D24" i="36"/>
  <c r="AE23" i="28" s="1"/>
  <c r="E23" i="36"/>
  <c r="D23" i="36"/>
  <c r="AE22" i="28" s="1"/>
  <c r="E22" i="36"/>
  <c r="D22" i="36"/>
  <c r="AE21" i="28" s="1"/>
  <c r="E21" i="36"/>
  <c r="D21" i="36"/>
  <c r="AE20" i="28" s="1"/>
  <c r="E20" i="36"/>
  <c r="D20" i="36"/>
  <c r="AE19" i="28" s="1"/>
  <c r="E19" i="36"/>
  <c r="D19" i="36"/>
  <c r="AE18" i="28" s="1"/>
  <c r="E18" i="36"/>
  <c r="D18" i="36"/>
  <c r="AE17" i="28" s="1"/>
  <c r="E17" i="36"/>
  <c r="D17" i="36"/>
  <c r="AE16" i="28" s="1"/>
  <c r="E16" i="36"/>
  <c r="D16" i="36"/>
  <c r="AE15" i="28" s="1"/>
  <c r="E15" i="36"/>
  <c r="D15" i="36"/>
  <c r="AE14" i="28" s="1"/>
  <c r="E14" i="36"/>
  <c r="D14" i="36"/>
  <c r="AE13" i="28" s="1"/>
  <c r="E13" i="36"/>
  <c r="D13" i="36"/>
  <c r="AE12" i="28" s="1"/>
  <c r="C11" i="36"/>
  <c r="G11" i="36" s="1"/>
  <c r="AE9" i="28"/>
  <c r="AE8" i="28"/>
  <c r="AE7" i="28"/>
  <c r="AE6" i="28"/>
  <c r="C37" i="35"/>
  <c r="E35" i="35"/>
  <c r="D35" i="35"/>
  <c r="AD34" i="28" s="1"/>
  <c r="E34" i="35"/>
  <c r="D34" i="35"/>
  <c r="AD33" i="28" s="1"/>
  <c r="E33" i="35"/>
  <c r="D33" i="35"/>
  <c r="AD32" i="28" s="1"/>
  <c r="E32" i="35"/>
  <c r="D32" i="35"/>
  <c r="AD31" i="28" s="1"/>
  <c r="AD42" i="28" s="1"/>
  <c r="E31" i="35"/>
  <c r="D31" i="35"/>
  <c r="AD30" i="28" s="1"/>
  <c r="E30" i="35"/>
  <c r="D30" i="35"/>
  <c r="AD29" i="28" s="1"/>
  <c r="E29" i="35"/>
  <c r="D29" i="35"/>
  <c r="AD28" i="28" s="1"/>
  <c r="E28" i="35"/>
  <c r="D28" i="35"/>
  <c r="AD27" i="28" s="1"/>
  <c r="E27" i="35"/>
  <c r="D27" i="35"/>
  <c r="AD26" i="28" s="1"/>
  <c r="E26" i="35"/>
  <c r="D26" i="35"/>
  <c r="AD25" i="28" s="1"/>
  <c r="E25" i="35"/>
  <c r="D25" i="35"/>
  <c r="AD24" i="28" s="1"/>
  <c r="E24" i="35"/>
  <c r="D24" i="35"/>
  <c r="AD23" i="28" s="1"/>
  <c r="E23" i="35"/>
  <c r="D23" i="35"/>
  <c r="AD22" i="28" s="1"/>
  <c r="E22" i="35"/>
  <c r="D22" i="35"/>
  <c r="AD21" i="28" s="1"/>
  <c r="E21" i="35"/>
  <c r="D21" i="35"/>
  <c r="AD20" i="28" s="1"/>
  <c r="E20" i="35"/>
  <c r="D20" i="35"/>
  <c r="AD19" i="28" s="1"/>
  <c r="E19" i="35"/>
  <c r="D19" i="35"/>
  <c r="AD18" i="28" s="1"/>
  <c r="E18" i="35"/>
  <c r="D18" i="35"/>
  <c r="AD17" i="28" s="1"/>
  <c r="E17" i="35"/>
  <c r="D17" i="35"/>
  <c r="AD16" i="28" s="1"/>
  <c r="E16" i="35"/>
  <c r="D16" i="35"/>
  <c r="AD15" i="28" s="1"/>
  <c r="E15" i="35"/>
  <c r="D15" i="35"/>
  <c r="AD14" i="28" s="1"/>
  <c r="E14" i="35"/>
  <c r="D14" i="35"/>
  <c r="AD13" i="28" s="1"/>
  <c r="E13" i="35"/>
  <c r="D13" i="35"/>
  <c r="AD12" i="28" s="1"/>
  <c r="C11" i="35"/>
  <c r="G11" i="35" s="1"/>
  <c r="AD9" i="28"/>
  <c r="AD8" i="28"/>
  <c r="AD7" i="28"/>
  <c r="AD6" i="28"/>
  <c r="AD5" i="28"/>
  <c r="C37" i="34"/>
  <c r="E35" i="34"/>
  <c r="D35" i="34"/>
  <c r="AC34" i="28" s="1"/>
  <c r="E34" i="34"/>
  <c r="D34" i="34"/>
  <c r="AC33" i="28" s="1"/>
  <c r="E33" i="34"/>
  <c r="D33" i="34"/>
  <c r="AC32" i="28" s="1"/>
  <c r="E32" i="34"/>
  <c r="D32" i="34"/>
  <c r="AC31" i="28" s="1"/>
  <c r="AC42" i="28" s="1"/>
  <c r="E31" i="34"/>
  <c r="D31" i="34"/>
  <c r="AC30" i="28" s="1"/>
  <c r="E30" i="34"/>
  <c r="D30" i="34"/>
  <c r="AC29" i="28" s="1"/>
  <c r="E29" i="34"/>
  <c r="D29" i="34"/>
  <c r="AC28" i="28" s="1"/>
  <c r="E28" i="34"/>
  <c r="D28" i="34"/>
  <c r="AC27" i="28" s="1"/>
  <c r="E27" i="34"/>
  <c r="D27" i="34"/>
  <c r="AC26" i="28" s="1"/>
  <c r="E26" i="34"/>
  <c r="D26" i="34"/>
  <c r="AC25" i="28" s="1"/>
  <c r="E25" i="34"/>
  <c r="D25" i="34"/>
  <c r="AC24" i="28" s="1"/>
  <c r="E24" i="34"/>
  <c r="D24" i="34"/>
  <c r="AC23" i="28" s="1"/>
  <c r="E23" i="34"/>
  <c r="D23" i="34"/>
  <c r="AC22" i="28" s="1"/>
  <c r="E22" i="34"/>
  <c r="D22" i="34"/>
  <c r="AC21" i="28" s="1"/>
  <c r="E21" i="34"/>
  <c r="D21" i="34"/>
  <c r="AC20" i="28" s="1"/>
  <c r="E20" i="34"/>
  <c r="D20" i="34"/>
  <c r="AC19" i="28" s="1"/>
  <c r="E19" i="34"/>
  <c r="D19" i="34"/>
  <c r="AC18" i="28" s="1"/>
  <c r="E18" i="34"/>
  <c r="D18" i="34"/>
  <c r="AC17" i="28" s="1"/>
  <c r="E17" i="34"/>
  <c r="D17" i="34"/>
  <c r="AC16" i="28" s="1"/>
  <c r="E16" i="34"/>
  <c r="D16" i="34"/>
  <c r="AC15" i="28" s="1"/>
  <c r="E15" i="34"/>
  <c r="D15" i="34"/>
  <c r="AC14" i="28" s="1"/>
  <c r="E14" i="34"/>
  <c r="D14" i="34"/>
  <c r="AC13" i="28" s="1"/>
  <c r="E13" i="34"/>
  <c r="D13" i="34"/>
  <c r="C11" i="34"/>
  <c r="G11" i="34" s="1"/>
  <c r="AC9" i="28"/>
  <c r="AC8" i="28"/>
  <c r="AC7" i="28"/>
  <c r="AC6" i="28"/>
  <c r="C37" i="33"/>
  <c r="E35" i="33"/>
  <c r="D35" i="33"/>
  <c r="AB34" i="28" s="1"/>
  <c r="E34" i="33"/>
  <c r="D34" i="33"/>
  <c r="AB33" i="28" s="1"/>
  <c r="E33" i="33"/>
  <c r="D33" i="33"/>
  <c r="AB32" i="28" s="1"/>
  <c r="E32" i="33"/>
  <c r="D32" i="33"/>
  <c r="AB31" i="28" s="1"/>
  <c r="AB42" i="28" s="1"/>
  <c r="E31" i="33"/>
  <c r="D31" i="33"/>
  <c r="AB30" i="28" s="1"/>
  <c r="E30" i="33"/>
  <c r="D30" i="33"/>
  <c r="AB29" i="28" s="1"/>
  <c r="E29" i="33"/>
  <c r="D29" i="33"/>
  <c r="AB28" i="28" s="1"/>
  <c r="E28" i="33"/>
  <c r="D28" i="33"/>
  <c r="AB27" i="28" s="1"/>
  <c r="E27" i="33"/>
  <c r="D27" i="33"/>
  <c r="AB26" i="28" s="1"/>
  <c r="E26" i="33"/>
  <c r="D26" i="33"/>
  <c r="AB25" i="28" s="1"/>
  <c r="E25" i="33"/>
  <c r="D25" i="33"/>
  <c r="AB24" i="28" s="1"/>
  <c r="E24" i="33"/>
  <c r="D24" i="33"/>
  <c r="AB23" i="28" s="1"/>
  <c r="E23" i="33"/>
  <c r="D23" i="33"/>
  <c r="AB22" i="28" s="1"/>
  <c r="E22" i="33"/>
  <c r="D22" i="33"/>
  <c r="AB21" i="28" s="1"/>
  <c r="E21" i="33"/>
  <c r="D21" i="33"/>
  <c r="AB20" i="28" s="1"/>
  <c r="E20" i="33"/>
  <c r="D20" i="33"/>
  <c r="AB19" i="28" s="1"/>
  <c r="E19" i="33"/>
  <c r="D19" i="33"/>
  <c r="AB18" i="28" s="1"/>
  <c r="E18" i="33"/>
  <c r="D18" i="33"/>
  <c r="AB17" i="28" s="1"/>
  <c r="E17" i="33"/>
  <c r="D17" i="33"/>
  <c r="AB16" i="28" s="1"/>
  <c r="E16" i="33"/>
  <c r="D16" i="33"/>
  <c r="AB15" i="28" s="1"/>
  <c r="E15" i="33"/>
  <c r="D15" i="33"/>
  <c r="AB14" i="28" s="1"/>
  <c r="E14" i="33"/>
  <c r="D14" i="33"/>
  <c r="AB13" i="28" s="1"/>
  <c r="E13" i="33"/>
  <c r="D13" i="33"/>
  <c r="AB12" i="28" s="1"/>
  <c r="C11" i="33"/>
  <c r="G11" i="33" s="1"/>
  <c r="AB9" i="28"/>
  <c r="AB8" i="28"/>
  <c r="AB7" i="28"/>
  <c r="AB6" i="28"/>
  <c r="C37" i="32"/>
  <c r="E35" i="32"/>
  <c r="D35" i="32"/>
  <c r="AA34" i="28" s="1"/>
  <c r="E34" i="32"/>
  <c r="D34" i="32"/>
  <c r="AA33" i="28" s="1"/>
  <c r="E33" i="32"/>
  <c r="D33" i="32"/>
  <c r="AA32" i="28" s="1"/>
  <c r="E32" i="32"/>
  <c r="D32" i="32"/>
  <c r="AA31" i="28" s="1"/>
  <c r="AA42" i="28" s="1"/>
  <c r="E31" i="32"/>
  <c r="D31" i="32"/>
  <c r="AA30" i="28" s="1"/>
  <c r="E30" i="32"/>
  <c r="D30" i="32"/>
  <c r="AA29" i="28" s="1"/>
  <c r="E29" i="32"/>
  <c r="D29" i="32"/>
  <c r="AA28" i="28" s="1"/>
  <c r="E28" i="32"/>
  <c r="D28" i="32"/>
  <c r="AA27" i="28" s="1"/>
  <c r="E27" i="32"/>
  <c r="D27" i="32"/>
  <c r="AA26" i="28" s="1"/>
  <c r="E26" i="32"/>
  <c r="D26" i="32"/>
  <c r="AA25" i="28" s="1"/>
  <c r="E25" i="32"/>
  <c r="D25" i="32"/>
  <c r="AA24" i="28" s="1"/>
  <c r="E24" i="32"/>
  <c r="D24" i="32"/>
  <c r="AA23" i="28" s="1"/>
  <c r="E23" i="32"/>
  <c r="D23" i="32"/>
  <c r="AA22" i="28" s="1"/>
  <c r="E22" i="32"/>
  <c r="D22" i="32"/>
  <c r="AA21" i="28" s="1"/>
  <c r="E21" i="32"/>
  <c r="D21" i="32"/>
  <c r="AA20" i="28" s="1"/>
  <c r="E20" i="32"/>
  <c r="D20" i="32"/>
  <c r="AA19" i="28" s="1"/>
  <c r="E19" i="32"/>
  <c r="D19" i="32"/>
  <c r="AA18" i="28" s="1"/>
  <c r="E18" i="32"/>
  <c r="D18" i="32"/>
  <c r="AA17" i="28" s="1"/>
  <c r="E17" i="32"/>
  <c r="D17" i="32"/>
  <c r="AA16" i="28" s="1"/>
  <c r="E16" i="32"/>
  <c r="D16" i="32"/>
  <c r="AA15" i="28" s="1"/>
  <c r="E15" i="32"/>
  <c r="D15" i="32"/>
  <c r="AA14" i="28" s="1"/>
  <c r="E14" i="32"/>
  <c r="D14" i="32"/>
  <c r="AA13" i="28" s="1"/>
  <c r="E13" i="32"/>
  <c r="D13" i="32"/>
  <c r="C11" i="32"/>
  <c r="G11" i="32" s="1"/>
  <c r="AA9" i="28"/>
  <c r="AA8" i="28"/>
  <c r="AA7" i="28"/>
  <c r="AA6" i="28"/>
  <c r="C37" i="31"/>
  <c r="E35" i="31"/>
  <c r="D35" i="31"/>
  <c r="Z34" i="28" s="1"/>
  <c r="E34" i="31"/>
  <c r="D34" i="31"/>
  <c r="Z33" i="28" s="1"/>
  <c r="E33" i="31"/>
  <c r="D33" i="31"/>
  <c r="Z32" i="28" s="1"/>
  <c r="E32" i="31"/>
  <c r="D32" i="31"/>
  <c r="Z31" i="28" s="1"/>
  <c r="Z42" i="28" s="1"/>
  <c r="E31" i="31"/>
  <c r="D31" i="31"/>
  <c r="Z30" i="28" s="1"/>
  <c r="E30" i="31"/>
  <c r="D30" i="31"/>
  <c r="Z29" i="28" s="1"/>
  <c r="E29" i="31"/>
  <c r="D29" i="31"/>
  <c r="Z28" i="28" s="1"/>
  <c r="E28" i="31"/>
  <c r="D28" i="31"/>
  <c r="Z27" i="28" s="1"/>
  <c r="E27" i="31"/>
  <c r="D27" i="31"/>
  <c r="Z26" i="28" s="1"/>
  <c r="E26" i="31"/>
  <c r="D26" i="31"/>
  <c r="Z25" i="28" s="1"/>
  <c r="E25" i="31"/>
  <c r="D25" i="31"/>
  <c r="Z24" i="28" s="1"/>
  <c r="E24" i="31"/>
  <c r="D24" i="31"/>
  <c r="Z23" i="28" s="1"/>
  <c r="E23" i="31"/>
  <c r="D23" i="31"/>
  <c r="Z22" i="28" s="1"/>
  <c r="E22" i="31"/>
  <c r="D22" i="31"/>
  <c r="Z21" i="28" s="1"/>
  <c r="E21" i="31"/>
  <c r="D21" i="31"/>
  <c r="Z20" i="28" s="1"/>
  <c r="E20" i="31"/>
  <c r="D20" i="31"/>
  <c r="Z19" i="28" s="1"/>
  <c r="E19" i="31"/>
  <c r="D19" i="31"/>
  <c r="Z18" i="28" s="1"/>
  <c r="E18" i="31"/>
  <c r="D18" i="31"/>
  <c r="Z17" i="28" s="1"/>
  <c r="E17" i="31"/>
  <c r="D17" i="31"/>
  <c r="Z16" i="28" s="1"/>
  <c r="E16" i="31"/>
  <c r="D16" i="31"/>
  <c r="Z15" i="28" s="1"/>
  <c r="E15" i="31"/>
  <c r="D15" i="31"/>
  <c r="Z14" i="28" s="1"/>
  <c r="E14" i="31"/>
  <c r="D14" i="31"/>
  <c r="Z13" i="28" s="1"/>
  <c r="E13" i="31"/>
  <c r="D13" i="31"/>
  <c r="Z12" i="28" s="1"/>
  <c r="C11" i="31"/>
  <c r="G11" i="31" s="1"/>
  <c r="Z9" i="28"/>
  <c r="Z8" i="28"/>
  <c r="Z7" i="28"/>
  <c r="Z6" i="28"/>
  <c r="C37" i="30"/>
  <c r="E35" i="30"/>
  <c r="D35" i="30"/>
  <c r="Y34" i="28" s="1"/>
  <c r="E34" i="30"/>
  <c r="D34" i="30"/>
  <c r="Y33" i="28" s="1"/>
  <c r="E33" i="30"/>
  <c r="D33" i="30"/>
  <c r="Y32" i="28" s="1"/>
  <c r="E32" i="30"/>
  <c r="D32" i="30"/>
  <c r="Y31" i="28" s="1"/>
  <c r="Y42" i="28" s="1"/>
  <c r="E31" i="30"/>
  <c r="D31" i="30"/>
  <c r="Y30" i="28" s="1"/>
  <c r="E30" i="30"/>
  <c r="D30" i="30"/>
  <c r="Y29" i="28" s="1"/>
  <c r="E29" i="30"/>
  <c r="D29" i="30"/>
  <c r="E28" i="30"/>
  <c r="D28" i="30"/>
  <c r="Y27" i="28" s="1"/>
  <c r="E27" i="30"/>
  <c r="D27" i="30"/>
  <c r="Y26" i="28" s="1"/>
  <c r="E26" i="30"/>
  <c r="D26" i="30"/>
  <c r="Y25" i="28" s="1"/>
  <c r="E25" i="30"/>
  <c r="D25" i="30"/>
  <c r="Y24" i="28" s="1"/>
  <c r="E24" i="30"/>
  <c r="D24" i="30"/>
  <c r="Y23" i="28" s="1"/>
  <c r="E23" i="30"/>
  <c r="D23" i="30"/>
  <c r="Y22" i="28" s="1"/>
  <c r="E22" i="30"/>
  <c r="D22" i="30"/>
  <c r="Y21" i="28" s="1"/>
  <c r="E21" i="30"/>
  <c r="D21" i="30"/>
  <c r="Y20" i="28" s="1"/>
  <c r="E20" i="30"/>
  <c r="D20" i="30"/>
  <c r="Y19" i="28" s="1"/>
  <c r="E19" i="30"/>
  <c r="D19" i="30"/>
  <c r="Y18" i="28" s="1"/>
  <c r="E18" i="30"/>
  <c r="D18" i="30"/>
  <c r="Y17" i="28" s="1"/>
  <c r="E17" i="30"/>
  <c r="D17" i="30"/>
  <c r="Y16" i="28" s="1"/>
  <c r="E16" i="30"/>
  <c r="D16" i="30"/>
  <c r="Y15" i="28" s="1"/>
  <c r="E15" i="30"/>
  <c r="D15" i="30"/>
  <c r="Y14" i="28" s="1"/>
  <c r="E14" i="30"/>
  <c r="D14" i="30"/>
  <c r="Y13" i="28" s="1"/>
  <c r="E13" i="30"/>
  <c r="D13" i="30"/>
  <c r="Y12" i="28" s="1"/>
  <c r="C11" i="30"/>
  <c r="G11" i="30" s="1"/>
  <c r="Y9" i="28"/>
  <c r="Y8" i="28"/>
  <c r="Y7" i="28"/>
  <c r="Y6" i="28"/>
  <c r="C37" i="29"/>
  <c r="E35" i="29"/>
  <c r="D35" i="29"/>
  <c r="X34" i="28" s="1"/>
  <c r="E34" i="29"/>
  <c r="D34" i="29"/>
  <c r="X33" i="28" s="1"/>
  <c r="E33" i="29"/>
  <c r="D33" i="29"/>
  <c r="X32" i="28" s="1"/>
  <c r="E32" i="29"/>
  <c r="D32" i="29"/>
  <c r="X31" i="28" s="1"/>
  <c r="X42" i="28" s="1"/>
  <c r="E31" i="29"/>
  <c r="D31" i="29"/>
  <c r="X30" i="28" s="1"/>
  <c r="E30" i="29"/>
  <c r="D30" i="29"/>
  <c r="X29" i="28" s="1"/>
  <c r="E29" i="29"/>
  <c r="D29" i="29"/>
  <c r="X28" i="28" s="1"/>
  <c r="E28" i="29"/>
  <c r="D28" i="29"/>
  <c r="X27" i="28" s="1"/>
  <c r="E27" i="29"/>
  <c r="D27" i="29"/>
  <c r="X26" i="28" s="1"/>
  <c r="E26" i="29"/>
  <c r="D26" i="29"/>
  <c r="X25" i="28" s="1"/>
  <c r="E25" i="29"/>
  <c r="D25" i="29"/>
  <c r="X24" i="28" s="1"/>
  <c r="E24" i="29"/>
  <c r="D24" i="29"/>
  <c r="X23" i="28" s="1"/>
  <c r="E23" i="29"/>
  <c r="D23" i="29"/>
  <c r="X22" i="28" s="1"/>
  <c r="E22" i="29"/>
  <c r="D22" i="29"/>
  <c r="X21" i="28" s="1"/>
  <c r="E21" i="29"/>
  <c r="D21" i="29"/>
  <c r="X20" i="28" s="1"/>
  <c r="E20" i="29"/>
  <c r="D20" i="29"/>
  <c r="X19" i="28" s="1"/>
  <c r="E19" i="29"/>
  <c r="D19" i="29"/>
  <c r="X18" i="28" s="1"/>
  <c r="E18" i="29"/>
  <c r="D18" i="29"/>
  <c r="X17" i="28" s="1"/>
  <c r="E17" i="29"/>
  <c r="D17" i="29"/>
  <c r="X16" i="28" s="1"/>
  <c r="E16" i="29"/>
  <c r="D16" i="29"/>
  <c r="X15" i="28" s="1"/>
  <c r="E15" i="29"/>
  <c r="D15" i="29"/>
  <c r="X14" i="28" s="1"/>
  <c r="E14" i="29"/>
  <c r="D14" i="29"/>
  <c r="X13" i="28" s="1"/>
  <c r="E13" i="29"/>
  <c r="D13" i="29"/>
  <c r="X12" i="28" s="1"/>
  <c r="C11" i="29"/>
  <c r="G11" i="29" s="1"/>
  <c r="X9" i="28"/>
  <c r="X8" i="28"/>
  <c r="X7" i="28"/>
  <c r="X6" i="28"/>
  <c r="AH34" i="28"/>
  <c r="AH33" i="28"/>
  <c r="AH32" i="28"/>
  <c r="AH31" i="28"/>
  <c r="AH30" i="28"/>
  <c r="AH29" i="28"/>
  <c r="AH28" i="28"/>
  <c r="AH27" i="28"/>
  <c r="AH26" i="28"/>
  <c r="AH25" i="28"/>
  <c r="AH24" i="28"/>
  <c r="AH23" i="28"/>
  <c r="AH22" i="28"/>
  <c r="AH21" i="28"/>
  <c r="AH20" i="28"/>
  <c r="AH19" i="28"/>
  <c r="AH18" i="28"/>
  <c r="AH17" i="28"/>
  <c r="AH16" i="28"/>
  <c r="AH15" i="28"/>
  <c r="AH14" i="28"/>
  <c r="AH13" i="28"/>
  <c r="AH12" i="28"/>
  <c r="C37" i="27"/>
  <c r="E35" i="27"/>
  <c r="D35" i="27"/>
  <c r="AG34" i="28" s="1"/>
  <c r="E34" i="27"/>
  <c r="D34" i="27"/>
  <c r="AG33" i="28" s="1"/>
  <c r="E33" i="27"/>
  <c r="E32" i="27"/>
  <c r="D32" i="27"/>
  <c r="AG31" i="28" s="1"/>
  <c r="AG42" i="28" s="1"/>
  <c r="E31" i="27"/>
  <c r="D31" i="27"/>
  <c r="AG30" i="28" s="1"/>
  <c r="E30" i="27"/>
  <c r="D30" i="27"/>
  <c r="AG29" i="28" s="1"/>
  <c r="E29" i="27"/>
  <c r="D29" i="27"/>
  <c r="AG28" i="28" s="1"/>
  <c r="E28" i="27"/>
  <c r="D28" i="27"/>
  <c r="AG27" i="28" s="1"/>
  <c r="E27" i="27"/>
  <c r="D27" i="27"/>
  <c r="AG26" i="28" s="1"/>
  <c r="E26" i="27"/>
  <c r="D26" i="27"/>
  <c r="AG25" i="28" s="1"/>
  <c r="E25" i="27"/>
  <c r="D25" i="27"/>
  <c r="AG24" i="28" s="1"/>
  <c r="E24" i="27"/>
  <c r="D24" i="27"/>
  <c r="AG23" i="28" s="1"/>
  <c r="E23" i="27"/>
  <c r="D23" i="27"/>
  <c r="AG22" i="28" s="1"/>
  <c r="E22" i="27"/>
  <c r="D22" i="27"/>
  <c r="AG21" i="28" s="1"/>
  <c r="E21" i="27"/>
  <c r="D21" i="27"/>
  <c r="AG20" i="28" s="1"/>
  <c r="E20" i="27"/>
  <c r="D20" i="27"/>
  <c r="AG19" i="28" s="1"/>
  <c r="E19" i="27"/>
  <c r="D19" i="27"/>
  <c r="AG18" i="28" s="1"/>
  <c r="E18" i="27"/>
  <c r="D18" i="27"/>
  <c r="AG17" i="28" s="1"/>
  <c r="E17" i="27"/>
  <c r="D17" i="27"/>
  <c r="AG16" i="28" s="1"/>
  <c r="E16" i="27"/>
  <c r="D16" i="27"/>
  <c r="AG15" i="28" s="1"/>
  <c r="E15" i="27"/>
  <c r="D15" i="27"/>
  <c r="AG14" i="28" s="1"/>
  <c r="E14" i="27"/>
  <c r="D14" i="27"/>
  <c r="AG13" i="28" s="1"/>
  <c r="E13" i="27"/>
  <c r="D13" i="27"/>
  <c r="AG12" i="28" s="1"/>
  <c r="C11" i="27"/>
  <c r="G11" i="27" s="1"/>
  <c r="AG9" i="28"/>
  <c r="AG8" i="28"/>
  <c r="AG7" i="28"/>
  <c r="AG6" i="28"/>
  <c r="AG5" i="28"/>
  <c r="C37" i="26"/>
  <c r="E35" i="26"/>
  <c r="D35" i="26"/>
  <c r="W34" i="28" s="1"/>
  <c r="E34" i="26"/>
  <c r="D34" i="26"/>
  <c r="W33" i="28" s="1"/>
  <c r="E33" i="26"/>
  <c r="D33" i="26"/>
  <c r="W32" i="28" s="1"/>
  <c r="E32" i="26"/>
  <c r="D32" i="26"/>
  <c r="W31" i="28" s="1"/>
  <c r="W42" i="28" s="1"/>
  <c r="E31" i="26"/>
  <c r="D31" i="26"/>
  <c r="W30" i="28" s="1"/>
  <c r="E30" i="26"/>
  <c r="D30" i="26"/>
  <c r="W29" i="28" s="1"/>
  <c r="E29" i="26"/>
  <c r="D29" i="26"/>
  <c r="W28" i="28" s="1"/>
  <c r="E28" i="26"/>
  <c r="D28" i="26"/>
  <c r="E27" i="26"/>
  <c r="D27" i="26"/>
  <c r="W26" i="28" s="1"/>
  <c r="E26" i="26"/>
  <c r="D26" i="26"/>
  <c r="W25" i="28" s="1"/>
  <c r="E25" i="26"/>
  <c r="D25" i="26"/>
  <c r="W24" i="28" s="1"/>
  <c r="E24" i="26"/>
  <c r="D24" i="26"/>
  <c r="W23" i="28" s="1"/>
  <c r="E23" i="26"/>
  <c r="D23" i="26"/>
  <c r="W22" i="28" s="1"/>
  <c r="E22" i="26"/>
  <c r="D22" i="26"/>
  <c r="W21" i="28" s="1"/>
  <c r="E21" i="26"/>
  <c r="D21" i="26"/>
  <c r="W20" i="28" s="1"/>
  <c r="E20" i="26"/>
  <c r="D20" i="26"/>
  <c r="W19" i="28" s="1"/>
  <c r="E19" i="26"/>
  <c r="D19" i="26"/>
  <c r="W18" i="28" s="1"/>
  <c r="E18" i="26"/>
  <c r="D18" i="26"/>
  <c r="W17" i="28" s="1"/>
  <c r="E17" i="26"/>
  <c r="D17" i="26"/>
  <c r="W16" i="28" s="1"/>
  <c r="E16" i="26"/>
  <c r="D16" i="26"/>
  <c r="W15" i="28" s="1"/>
  <c r="E15" i="26"/>
  <c r="D15" i="26"/>
  <c r="W14" i="28" s="1"/>
  <c r="E14" i="26"/>
  <c r="D14" i="26"/>
  <c r="W13" i="28" s="1"/>
  <c r="E13" i="26"/>
  <c r="D13" i="26"/>
  <c r="W12" i="28" s="1"/>
  <c r="C11" i="26"/>
  <c r="G11" i="26" s="1"/>
  <c r="W9" i="28"/>
  <c r="W8" i="28"/>
  <c r="W7" i="28"/>
  <c r="W6" i="28"/>
  <c r="C37" i="25"/>
  <c r="E35" i="25"/>
  <c r="D35" i="25"/>
  <c r="V34" i="28" s="1"/>
  <c r="E34" i="25"/>
  <c r="D34" i="25"/>
  <c r="V33" i="28" s="1"/>
  <c r="E33" i="25"/>
  <c r="D33" i="25"/>
  <c r="V32" i="28" s="1"/>
  <c r="E32" i="25"/>
  <c r="D32" i="25"/>
  <c r="V31" i="28" s="1"/>
  <c r="V42" i="28" s="1"/>
  <c r="E31" i="25"/>
  <c r="D31" i="25"/>
  <c r="V30" i="28" s="1"/>
  <c r="E30" i="25"/>
  <c r="D30" i="25"/>
  <c r="V29" i="28" s="1"/>
  <c r="E29" i="25"/>
  <c r="D29" i="25"/>
  <c r="V28" i="28" s="1"/>
  <c r="E28" i="25"/>
  <c r="D28" i="25"/>
  <c r="V27" i="28" s="1"/>
  <c r="E27" i="25"/>
  <c r="D27" i="25"/>
  <c r="V26" i="28" s="1"/>
  <c r="E26" i="25"/>
  <c r="D26" i="25"/>
  <c r="V25" i="28" s="1"/>
  <c r="E25" i="25"/>
  <c r="D25" i="25"/>
  <c r="V24" i="28" s="1"/>
  <c r="E24" i="25"/>
  <c r="D24" i="25"/>
  <c r="V23" i="28" s="1"/>
  <c r="E23" i="25"/>
  <c r="D23" i="25"/>
  <c r="V22" i="28" s="1"/>
  <c r="E22" i="25"/>
  <c r="D22" i="25"/>
  <c r="V21" i="28" s="1"/>
  <c r="E21" i="25"/>
  <c r="D21" i="25"/>
  <c r="V20" i="28" s="1"/>
  <c r="E20" i="25"/>
  <c r="D20" i="25"/>
  <c r="V19" i="28" s="1"/>
  <c r="E19" i="25"/>
  <c r="D19" i="25"/>
  <c r="V18" i="28" s="1"/>
  <c r="E18" i="25"/>
  <c r="D18" i="25"/>
  <c r="V17" i="28" s="1"/>
  <c r="E17" i="25"/>
  <c r="D17" i="25"/>
  <c r="V16" i="28" s="1"/>
  <c r="E16" i="25"/>
  <c r="D16" i="25"/>
  <c r="V15" i="28" s="1"/>
  <c r="E15" i="25"/>
  <c r="D15" i="25"/>
  <c r="V14" i="28" s="1"/>
  <c r="E14" i="25"/>
  <c r="D14" i="25"/>
  <c r="V13" i="28" s="1"/>
  <c r="E13" i="25"/>
  <c r="D13" i="25"/>
  <c r="V12" i="28" s="1"/>
  <c r="C11" i="25"/>
  <c r="G11" i="25" s="1"/>
  <c r="V9" i="28"/>
  <c r="V8" i="28"/>
  <c r="V7" i="28"/>
  <c r="V6" i="28"/>
  <c r="V5" i="28"/>
  <c r="C37" i="24"/>
  <c r="E35" i="24"/>
  <c r="D35" i="24"/>
  <c r="U34" i="28" s="1"/>
  <c r="E34" i="24"/>
  <c r="D34" i="24"/>
  <c r="U33" i="28" s="1"/>
  <c r="E33" i="24"/>
  <c r="D33" i="24"/>
  <c r="U32" i="28" s="1"/>
  <c r="E32" i="24"/>
  <c r="D32" i="24"/>
  <c r="U31" i="28" s="1"/>
  <c r="U42" i="28" s="1"/>
  <c r="E31" i="24"/>
  <c r="D31" i="24"/>
  <c r="U30" i="28" s="1"/>
  <c r="E30" i="24"/>
  <c r="D30" i="24"/>
  <c r="U29" i="28" s="1"/>
  <c r="E29" i="24"/>
  <c r="D29" i="24"/>
  <c r="U28" i="28" s="1"/>
  <c r="E28" i="24"/>
  <c r="D28" i="24"/>
  <c r="U27" i="28" s="1"/>
  <c r="E27" i="24"/>
  <c r="D27" i="24"/>
  <c r="U26" i="28" s="1"/>
  <c r="E26" i="24"/>
  <c r="D26" i="24"/>
  <c r="U25" i="28" s="1"/>
  <c r="E25" i="24"/>
  <c r="D25" i="24"/>
  <c r="U24" i="28" s="1"/>
  <c r="E24" i="24"/>
  <c r="D24" i="24"/>
  <c r="U23" i="28" s="1"/>
  <c r="E23" i="24"/>
  <c r="D23" i="24"/>
  <c r="U22" i="28" s="1"/>
  <c r="E22" i="24"/>
  <c r="D22" i="24"/>
  <c r="U21" i="28" s="1"/>
  <c r="E21" i="24"/>
  <c r="D21" i="24"/>
  <c r="U20" i="28" s="1"/>
  <c r="E20" i="24"/>
  <c r="D20" i="24"/>
  <c r="U19" i="28" s="1"/>
  <c r="E19" i="24"/>
  <c r="D19" i="24"/>
  <c r="U18" i="28" s="1"/>
  <c r="E18" i="24"/>
  <c r="D18" i="24"/>
  <c r="U17" i="28" s="1"/>
  <c r="E17" i="24"/>
  <c r="D17" i="24"/>
  <c r="U16" i="28" s="1"/>
  <c r="E16" i="24"/>
  <c r="D16" i="24"/>
  <c r="U15" i="28" s="1"/>
  <c r="E15" i="24"/>
  <c r="D15" i="24"/>
  <c r="U14" i="28" s="1"/>
  <c r="E14" i="24"/>
  <c r="D14" i="24"/>
  <c r="U13" i="28" s="1"/>
  <c r="E13" i="24"/>
  <c r="D13" i="24"/>
  <c r="U12" i="28" s="1"/>
  <c r="C11" i="24"/>
  <c r="G11" i="24" s="1"/>
  <c r="U9" i="28"/>
  <c r="U8" i="28"/>
  <c r="U7" i="28"/>
  <c r="U6" i="28"/>
  <c r="C37" i="23"/>
  <c r="E35" i="23"/>
  <c r="D35" i="23"/>
  <c r="R34" i="28" s="1"/>
  <c r="E34" i="23"/>
  <c r="D34" i="23"/>
  <c r="R33" i="28" s="1"/>
  <c r="E33" i="23"/>
  <c r="D33" i="23"/>
  <c r="R32" i="28" s="1"/>
  <c r="E32" i="23"/>
  <c r="D32" i="23"/>
  <c r="R31" i="28" s="1"/>
  <c r="R42" i="28" s="1"/>
  <c r="E31" i="23"/>
  <c r="D31" i="23"/>
  <c r="R30" i="28" s="1"/>
  <c r="E30" i="23"/>
  <c r="D30" i="23"/>
  <c r="R29" i="28" s="1"/>
  <c r="E29" i="23"/>
  <c r="D29" i="23"/>
  <c r="R28" i="28" s="1"/>
  <c r="E28" i="23"/>
  <c r="D28" i="23"/>
  <c r="R27" i="28" s="1"/>
  <c r="E27" i="23"/>
  <c r="D27" i="23"/>
  <c r="R26" i="28" s="1"/>
  <c r="E26" i="23"/>
  <c r="D26" i="23"/>
  <c r="R25" i="28" s="1"/>
  <c r="E25" i="23"/>
  <c r="D25" i="23"/>
  <c r="R24" i="28" s="1"/>
  <c r="E24" i="23"/>
  <c r="D24" i="23"/>
  <c r="R23" i="28" s="1"/>
  <c r="E23" i="23"/>
  <c r="D23" i="23"/>
  <c r="R22" i="28" s="1"/>
  <c r="E22" i="23"/>
  <c r="D22" i="23"/>
  <c r="R21" i="28" s="1"/>
  <c r="E21" i="23"/>
  <c r="D21" i="23"/>
  <c r="R20" i="28" s="1"/>
  <c r="E20" i="23"/>
  <c r="D20" i="23"/>
  <c r="R19" i="28" s="1"/>
  <c r="E19" i="23"/>
  <c r="D19" i="23"/>
  <c r="R18" i="28" s="1"/>
  <c r="E18" i="23"/>
  <c r="D18" i="23"/>
  <c r="R17" i="28" s="1"/>
  <c r="E17" i="23"/>
  <c r="D17" i="23"/>
  <c r="R16" i="28" s="1"/>
  <c r="E16" i="23"/>
  <c r="D16" i="23"/>
  <c r="R15" i="28" s="1"/>
  <c r="E15" i="23"/>
  <c r="D15" i="23"/>
  <c r="R14" i="28" s="1"/>
  <c r="E14" i="23"/>
  <c r="D14" i="23"/>
  <c r="R13" i="28" s="1"/>
  <c r="E13" i="23"/>
  <c r="D13" i="23"/>
  <c r="R12" i="28" s="1"/>
  <c r="C11" i="23"/>
  <c r="G11" i="23" s="1"/>
  <c r="R9" i="28"/>
  <c r="R8" i="28"/>
  <c r="R6" i="28"/>
  <c r="R5" i="28"/>
  <c r="C37" i="22"/>
  <c r="E35" i="22"/>
  <c r="D35" i="22"/>
  <c r="S34" i="28" s="1"/>
  <c r="E34" i="22"/>
  <c r="D34" i="22"/>
  <c r="S33" i="28" s="1"/>
  <c r="E33" i="22"/>
  <c r="D33" i="22"/>
  <c r="S32" i="28" s="1"/>
  <c r="E32" i="22"/>
  <c r="D32" i="22"/>
  <c r="S31" i="28" s="1"/>
  <c r="S42" i="28" s="1"/>
  <c r="E31" i="22"/>
  <c r="D31" i="22"/>
  <c r="S30" i="28" s="1"/>
  <c r="E30" i="22"/>
  <c r="D30" i="22"/>
  <c r="S29" i="28" s="1"/>
  <c r="E29" i="22"/>
  <c r="D29" i="22"/>
  <c r="S28" i="28" s="1"/>
  <c r="E28" i="22"/>
  <c r="D28" i="22"/>
  <c r="S27" i="28" s="1"/>
  <c r="E27" i="22"/>
  <c r="D27" i="22"/>
  <c r="S26" i="28" s="1"/>
  <c r="E26" i="22"/>
  <c r="D26" i="22"/>
  <c r="S25" i="28" s="1"/>
  <c r="E25" i="22"/>
  <c r="D25" i="22"/>
  <c r="S24" i="28" s="1"/>
  <c r="E24" i="22"/>
  <c r="D24" i="22"/>
  <c r="S23" i="28" s="1"/>
  <c r="E23" i="22"/>
  <c r="D23" i="22"/>
  <c r="S22" i="28" s="1"/>
  <c r="E22" i="22"/>
  <c r="D22" i="22"/>
  <c r="S21" i="28" s="1"/>
  <c r="E21" i="22"/>
  <c r="D21" i="22"/>
  <c r="S20" i="28" s="1"/>
  <c r="E20" i="22"/>
  <c r="D20" i="22"/>
  <c r="S19" i="28" s="1"/>
  <c r="E19" i="22"/>
  <c r="D19" i="22"/>
  <c r="S18" i="28" s="1"/>
  <c r="E18" i="22"/>
  <c r="D18" i="22"/>
  <c r="S17" i="28" s="1"/>
  <c r="E17" i="22"/>
  <c r="D17" i="22"/>
  <c r="S16" i="28" s="1"/>
  <c r="E16" i="22"/>
  <c r="D16" i="22"/>
  <c r="S15" i="28" s="1"/>
  <c r="E15" i="22"/>
  <c r="D15" i="22"/>
  <c r="S14" i="28" s="1"/>
  <c r="E14" i="22"/>
  <c r="D14" i="22"/>
  <c r="S13" i="28" s="1"/>
  <c r="E13" i="22"/>
  <c r="D13" i="22"/>
  <c r="S12" i="28" s="1"/>
  <c r="C11" i="22"/>
  <c r="G11" i="22" s="1"/>
  <c r="S9" i="28"/>
  <c r="S8" i="28"/>
  <c r="S7" i="28"/>
  <c r="S6" i="28"/>
  <c r="C37" i="21"/>
  <c r="E35" i="21"/>
  <c r="D35" i="21"/>
  <c r="T34" i="28" s="1"/>
  <c r="E34" i="21"/>
  <c r="D34" i="21"/>
  <c r="E33" i="21"/>
  <c r="D33" i="21"/>
  <c r="T32" i="28" s="1"/>
  <c r="E32" i="21"/>
  <c r="D32" i="21"/>
  <c r="T31" i="28" s="1"/>
  <c r="T42" i="28" s="1"/>
  <c r="E31" i="21"/>
  <c r="D31" i="21"/>
  <c r="T30" i="28" s="1"/>
  <c r="E30" i="21"/>
  <c r="D30" i="21"/>
  <c r="T29" i="28" s="1"/>
  <c r="E29" i="21"/>
  <c r="D29" i="21"/>
  <c r="T28" i="28" s="1"/>
  <c r="E28" i="21"/>
  <c r="D28" i="21"/>
  <c r="T27" i="28" s="1"/>
  <c r="E27" i="21"/>
  <c r="D27" i="21"/>
  <c r="T26" i="28" s="1"/>
  <c r="E26" i="21"/>
  <c r="D26" i="21"/>
  <c r="T25" i="28" s="1"/>
  <c r="E25" i="21"/>
  <c r="D25" i="21"/>
  <c r="T24" i="28" s="1"/>
  <c r="E24" i="21"/>
  <c r="D24" i="21"/>
  <c r="T23" i="28" s="1"/>
  <c r="E23" i="21"/>
  <c r="D23" i="21"/>
  <c r="T22" i="28" s="1"/>
  <c r="E22" i="21"/>
  <c r="D22" i="21"/>
  <c r="T21" i="28" s="1"/>
  <c r="E21" i="21"/>
  <c r="D21" i="21"/>
  <c r="T20" i="28" s="1"/>
  <c r="E20" i="21"/>
  <c r="D20" i="21"/>
  <c r="T19" i="28" s="1"/>
  <c r="E19" i="21"/>
  <c r="D19" i="21"/>
  <c r="T18" i="28" s="1"/>
  <c r="E18" i="21"/>
  <c r="D18" i="21"/>
  <c r="T17" i="28" s="1"/>
  <c r="E17" i="21"/>
  <c r="D17" i="21"/>
  <c r="T16" i="28" s="1"/>
  <c r="E16" i="21"/>
  <c r="D16" i="21"/>
  <c r="T15" i="28" s="1"/>
  <c r="E15" i="21"/>
  <c r="D15" i="21"/>
  <c r="T14" i="28" s="1"/>
  <c r="E14" i="21"/>
  <c r="D14" i="21"/>
  <c r="T13" i="28" s="1"/>
  <c r="E13" i="21"/>
  <c r="D13" i="21"/>
  <c r="T12" i="28" s="1"/>
  <c r="C11" i="21"/>
  <c r="G11" i="21" s="1"/>
  <c r="T9" i="28"/>
  <c r="T8" i="28"/>
  <c r="T7" i="28"/>
  <c r="T6" i="28"/>
  <c r="C37" i="20"/>
  <c r="E35" i="20"/>
  <c r="D35" i="20"/>
  <c r="P34" i="28" s="1"/>
  <c r="E34" i="20"/>
  <c r="D34" i="20"/>
  <c r="P33" i="28" s="1"/>
  <c r="E33" i="20"/>
  <c r="D33" i="20"/>
  <c r="P32" i="28" s="1"/>
  <c r="E32" i="20"/>
  <c r="D32" i="20"/>
  <c r="P31" i="28" s="1"/>
  <c r="P42" i="28" s="1"/>
  <c r="E31" i="20"/>
  <c r="D31" i="20"/>
  <c r="P30" i="28" s="1"/>
  <c r="E30" i="20"/>
  <c r="D30" i="20"/>
  <c r="P29" i="28" s="1"/>
  <c r="E29" i="20"/>
  <c r="D29" i="20"/>
  <c r="P28" i="28" s="1"/>
  <c r="E28" i="20"/>
  <c r="D28" i="20"/>
  <c r="P27" i="28" s="1"/>
  <c r="E27" i="20"/>
  <c r="D27" i="20"/>
  <c r="P26" i="28" s="1"/>
  <c r="E26" i="20"/>
  <c r="D26" i="20"/>
  <c r="P25" i="28" s="1"/>
  <c r="E25" i="20"/>
  <c r="D25" i="20"/>
  <c r="P24" i="28" s="1"/>
  <c r="E24" i="20"/>
  <c r="D24" i="20"/>
  <c r="P23" i="28" s="1"/>
  <c r="E23" i="20"/>
  <c r="D23" i="20"/>
  <c r="P22" i="28" s="1"/>
  <c r="E22" i="20"/>
  <c r="D22" i="20"/>
  <c r="P21" i="28" s="1"/>
  <c r="E21" i="20"/>
  <c r="D21" i="20"/>
  <c r="P20" i="28" s="1"/>
  <c r="E20" i="20"/>
  <c r="D20" i="20"/>
  <c r="P19" i="28" s="1"/>
  <c r="E19" i="20"/>
  <c r="D19" i="20"/>
  <c r="P18" i="28" s="1"/>
  <c r="E18" i="20"/>
  <c r="D18" i="20"/>
  <c r="P17" i="28" s="1"/>
  <c r="E17" i="20"/>
  <c r="D17" i="20"/>
  <c r="P16" i="28" s="1"/>
  <c r="E16" i="20"/>
  <c r="D16" i="20"/>
  <c r="P15" i="28" s="1"/>
  <c r="E15" i="20"/>
  <c r="D15" i="20"/>
  <c r="P14" i="28" s="1"/>
  <c r="E14" i="20"/>
  <c r="D14" i="20"/>
  <c r="P13" i="28" s="1"/>
  <c r="E13" i="20"/>
  <c r="D13" i="20"/>
  <c r="P12" i="28" s="1"/>
  <c r="C11" i="20"/>
  <c r="G11" i="20" s="1"/>
  <c r="P9" i="28"/>
  <c r="P8" i="28"/>
  <c r="P7" i="28"/>
  <c r="P5" i="28"/>
  <c r="C37" i="19"/>
  <c r="E35" i="19"/>
  <c r="D35" i="19"/>
  <c r="Q34" i="28" s="1"/>
  <c r="E34" i="19"/>
  <c r="D34" i="19"/>
  <c r="Q33" i="28" s="1"/>
  <c r="E33" i="19"/>
  <c r="D33" i="19"/>
  <c r="Q32" i="28" s="1"/>
  <c r="E32" i="19"/>
  <c r="D32" i="19"/>
  <c r="Q31" i="28" s="1"/>
  <c r="Q42" i="28" s="1"/>
  <c r="E31" i="19"/>
  <c r="D31" i="19"/>
  <c r="Q30" i="28" s="1"/>
  <c r="E30" i="19"/>
  <c r="D30" i="19"/>
  <c r="Q29" i="28" s="1"/>
  <c r="E29" i="19"/>
  <c r="D29" i="19"/>
  <c r="Q28" i="28" s="1"/>
  <c r="E28" i="19"/>
  <c r="D28" i="19"/>
  <c r="Q27" i="28" s="1"/>
  <c r="E27" i="19"/>
  <c r="D27" i="19"/>
  <c r="Q26" i="28" s="1"/>
  <c r="E26" i="19"/>
  <c r="D26" i="19"/>
  <c r="Q25" i="28" s="1"/>
  <c r="E25" i="19"/>
  <c r="D25" i="19"/>
  <c r="Q24" i="28" s="1"/>
  <c r="E24" i="19"/>
  <c r="D24" i="19"/>
  <c r="Q23" i="28" s="1"/>
  <c r="E23" i="19"/>
  <c r="D23" i="19"/>
  <c r="Q22" i="28" s="1"/>
  <c r="E22" i="19"/>
  <c r="D22" i="19"/>
  <c r="Q21" i="28" s="1"/>
  <c r="E21" i="19"/>
  <c r="D21" i="19"/>
  <c r="Q20" i="28" s="1"/>
  <c r="E20" i="19"/>
  <c r="D20" i="19"/>
  <c r="Q19" i="28" s="1"/>
  <c r="E19" i="19"/>
  <c r="D19" i="19"/>
  <c r="Q18" i="28" s="1"/>
  <c r="E18" i="19"/>
  <c r="D18" i="19"/>
  <c r="Q17" i="28" s="1"/>
  <c r="E17" i="19"/>
  <c r="D17" i="19"/>
  <c r="Q16" i="28" s="1"/>
  <c r="E16" i="19"/>
  <c r="D16" i="19"/>
  <c r="Q15" i="28" s="1"/>
  <c r="E15" i="19"/>
  <c r="D15" i="19"/>
  <c r="Q14" i="28" s="1"/>
  <c r="E14" i="19"/>
  <c r="D14" i="19"/>
  <c r="Q13" i="28" s="1"/>
  <c r="E13" i="19"/>
  <c r="D13" i="19"/>
  <c r="Q12" i="28" s="1"/>
  <c r="C11" i="19"/>
  <c r="G11" i="19" s="1"/>
  <c r="Q9" i="28"/>
  <c r="Q8" i="28"/>
  <c r="Q7" i="28"/>
  <c r="Q6" i="28"/>
  <c r="Q5" i="28"/>
  <c r="AI11" i="28" l="1"/>
  <c r="C12" i="38" s="1"/>
  <c r="D11" i="27"/>
  <c r="AG10" i="28" s="1"/>
  <c r="AG40" i="28" s="1"/>
  <c r="C40" i="27"/>
  <c r="D37" i="34"/>
  <c r="D11" i="37"/>
  <c r="AF10" i="28" s="1"/>
  <c r="AF40" i="28" s="1"/>
  <c r="D11" i="36"/>
  <c r="AE10" i="28" s="1"/>
  <c r="AE40" i="28" s="1"/>
  <c r="AE5" i="28"/>
  <c r="D37" i="36"/>
  <c r="D11" i="35"/>
  <c r="AD10" i="28" s="1"/>
  <c r="AD40" i="28" s="1"/>
  <c r="D11" i="34"/>
  <c r="AC10" i="28" s="1"/>
  <c r="AC40" i="28" s="1"/>
  <c r="AC5" i="28"/>
  <c r="D37" i="27"/>
  <c r="AG36" i="28"/>
  <c r="AD36" i="28"/>
  <c r="AE36" i="28"/>
  <c r="AF36" i="28"/>
  <c r="D37" i="32"/>
  <c r="D11" i="32"/>
  <c r="AA10" i="28" s="1"/>
  <c r="AA40" i="28" s="1"/>
  <c r="D11" i="29"/>
  <c r="X10" i="28" s="1"/>
  <c r="X40" i="28" s="1"/>
  <c r="AC12" i="28"/>
  <c r="AC36" i="28" s="1"/>
  <c r="C40" i="31"/>
  <c r="D37" i="31"/>
  <c r="C40" i="33"/>
  <c r="D37" i="33"/>
  <c r="C40" i="35"/>
  <c r="D37" i="35"/>
  <c r="C40" i="37"/>
  <c r="D37" i="37"/>
  <c r="AA12" i="28"/>
  <c r="AA36" i="28" s="1"/>
  <c r="C40" i="32"/>
  <c r="C40" i="34"/>
  <c r="C40" i="36"/>
  <c r="AB36" i="28"/>
  <c r="T33" i="28"/>
  <c r="D37" i="21"/>
  <c r="Z36" i="28"/>
  <c r="D11" i="26"/>
  <c r="W10" i="28" s="1"/>
  <c r="W40" i="28" s="1"/>
  <c r="W5" i="28"/>
  <c r="D11" i="31"/>
  <c r="Z10" i="28" s="1"/>
  <c r="Z40" i="28" s="1"/>
  <c r="D11" i="33"/>
  <c r="AB10" i="28" s="1"/>
  <c r="AB40" i="28" s="1"/>
  <c r="Z5" i="28"/>
  <c r="C40" i="20"/>
  <c r="AB5" i="28"/>
  <c r="AA5" i="28"/>
  <c r="D37" i="30"/>
  <c r="C40" i="30"/>
  <c r="Y28" i="28"/>
  <c r="Y36" i="28" s="1"/>
  <c r="C40" i="29"/>
  <c r="D37" i="29"/>
  <c r="X36" i="28"/>
  <c r="D11" i="30"/>
  <c r="Y10" i="28" s="1"/>
  <c r="Y40" i="28" s="1"/>
  <c r="Y5" i="28"/>
  <c r="X5" i="28"/>
  <c r="D37" i="26"/>
  <c r="W27" i="28"/>
  <c r="W36" i="28" s="1"/>
  <c r="C40" i="26"/>
  <c r="C40" i="25"/>
  <c r="D37" i="25"/>
  <c r="V36" i="28"/>
  <c r="D11" i="25"/>
  <c r="V10" i="28" s="1"/>
  <c r="V40" i="28" s="1"/>
  <c r="U36" i="28"/>
  <c r="C40" i="24"/>
  <c r="D37" i="24"/>
  <c r="D11" i="24"/>
  <c r="U10" i="28" s="1"/>
  <c r="U40" i="28" s="1"/>
  <c r="U5" i="28"/>
  <c r="T36" i="28"/>
  <c r="C40" i="21"/>
  <c r="D11" i="21"/>
  <c r="T10" i="28" s="1"/>
  <c r="T40" i="28" s="1"/>
  <c r="T5" i="28"/>
  <c r="D11" i="22"/>
  <c r="S10" i="28" s="1"/>
  <c r="S40" i="28" s="1"/>
  <c r="S5" i="28"/>
  <c r="D11" i="23"/>
  <c r="R10" i="28" s="1"/>
  <c r="R40" i="28" s="1"/>
  <c r="R7" i="28"/>
  <c r="D37" i="22"/>
  <c r="S36" i="28"/>
  <c r="C40" i="22"/>
  <c r="D37" i="23"/>
  <c r="R36" i="28"/>
  <c r="C40" i="23"/>
  <c r="C102" i="2"/>
  <c r="Q36" i="28"/>
  <c r="D11" i="19"/>
  <c r="Q10" i="28" s="1"/>
  <c r="Q40" i="28" s="1"/>
  <c r="D11" i="20"/>
  <c r="P10" i="28" s="1"/>
  <c r="P40" i="28" s="1"/>
  <c r="P6" i="28"/>
  <c r="C40" i="19"/>
  <c r="D37" i="19"/>
  <c r="P36" i="28"/>
  <c r="D37" i="20"/>
  <c r="E32" i="4"/>
  <c r="E33" i="4"/>
  <c r="E34" i="4"/>
  <c r="E35" i="4"/>
  <c r="E32" i="7"/>
  <c r="E33" i="7"/>
  <c r="E34" i="7"/>
  <c r="E35" i="7"/>
  <c r="E32" i="8"/>
  <c r="E33" i="8"/>
  <c r="E34" i="8"/>
  <c r="E35" i="8"/>
  <c r="E32" i="9"/>
  <c r="E33" i="9"/>
  <c r="E34" i="9"/>
  <c r="E35" i="9"/>
  <c r="E32" i="18"/>
  <c r="E33" i="18"/>
  <c r="E34" i="18"/>
  <c r="E35" i="18"/>
  <c r="E32" i="17"/>
  <c r="E33" i="17"/>
  <c r="E34" i="17"/>
  <c r="E35" i="17"/>
  <c r="E32" i="16"/>
  <c r="E33" i="16"/>
  <c r="E34" i="16"/>
  <c r="E35" i="16"/>
  <c r="E32" i="15"/>
  <c r="E33" i="15"/>
  <c r="E34" i="15"/>
  <c r="E35" i="15"/>
  <c r="E32" i="14"/>
  <c r="E33" i="14"/>
  <c r="E34" i="14"/>
  <c r="E35" i="14"/>
  <c r="E32" i="13"/>
  <c r="E33" i="13"/>
  <c r="E34" i="13"/>
  <c r="E35" i="13"/>
  <c r="E32" i="12"/>
  <c r="E33" i="12"/>
  <c r="E34" i="12"/>
  <c r="E35" i="12"/>
  <c r="E32" i="11"/>
  <c r="E33" i="11"/>
  <c r="E34" i="11"/>
  <c r="E35" i="11"/>
  <c r="E32" i="10"/>
  <c r="E33" i="10"/>
  <c r="E34" i="10"/>
  <c r="E35" i="10"/>
  <c r="E32" i="5"/>
  <c r="E33" i="5"/>
  <c r="E34" i="5"/>
  <c r="E35" i="5"/>
  <c r="E31" i="4"/>
  <c r="C37" i="9"/>
  <c r="C37" i="18"/>
  <c r="D35" i="18"/>
  <c r="G34" i="28" s="1"/>
  <c r="D34" i="18"/>
  <c r="G33" i="28" s="1"/>
  <c r="D33" i="18"/>
  <c r="G32" i="28" s="1"/>
  <c r="D32" i="18"/>
  <c r="G31" i="28" s="1"/>
  <c r="G42" i="28" s="1"/>
  <c r="E31" i="18"/>
  <c r="D31" i="18"/>
  <c r="G30" i="28" s="1"/>
  <c r="E30" i="18"/>
  <c r="D30" i="18"/>
  <c r="G29" i="28" s="1"/>
  <c r="E29" i="18"/>
  <c r="D29" i="18"/>
  <c r="G28" i="28" s="1"/>
  <c r="E28" i="18"/>
  <c r="D28" i="18"/>
  <c r="G27" i="28" s="1"/>
  <c r="E27" i="18"/>
  <c r="D27" i="18"/>
  <c r="G26" i="28" s="1"/>
  <c r="E26" i="18"/>
  <c r="D26" i="18"/>
  <c r="G25" i="28" s="1"/>
  <c r="E25" i="18"/>
  <c r="D25" i="18"/>
  <c r="G24" i="28" s="1"/>
  <c r="E24" i="18"/>
  <c r="D24" i="18"/>
  <c r="G23" i="28" s="1"/>
  <c r="E23" i="18"/>
  <c r="D23" i="18"/>
  <c r="G22" i="28" s="1"/>
  <c r="E22" i="18"/>
  <c r="D22" i="18"/>
  <c r="G21" i="28" s="1"/>
  <c r="E21" i="18"/>
  <c r="D21" i="18"/>
  <c r="G20" i="28" s="1"/>
  <c r="E20" i="18"/>
  <c r="D20" i="18"/>
  <c r="G19" i="28" s="1"/>
  <c r="E19" i="18"/>
  <c r="D19" i="18"/>
  <c r="G18" i="28" s="1"/>
  <c r="E18" i="18"/>
  <c r="D18" i="18"/>
  <c r="G17" i="28" s="1"/>
  <c r="E17" i="18"/>
  <c r="D17" i="18"/>
  <c r="G16" i="28" s="1"/>
  <c r="E16" i="18"/>
  <c r="D16" i="18"/>
  <c r="G15" i="28" s="1"/>
  <c r="E15" i="18"/>
  <c r="D15" i="18"/>
  <c r="G14" i="28" s="1"/>
  <c r="E14" i="18"/>
  <c r="D14" i="18"/>
  <c r="G13" i="28" s="1"/>
  <c r="E13" i="18"/>
  <c r="D13" i="18"/>
  <c r="G12" i="28" s="1"/>
  <c r="C11" i="18"/>
  <c r="G11" i="18" s="1"/>
  <c r="G9" i="28"/>
  <c r="G8" i="28"/>
  <c r="G7" i="28"/>
  <c r="G6" i="28"/>
  <c r="G5" i="28"/>
  <c r="C37" i="17"/>
  <c r="D35" i="17"/>
  <c r="H34" i="28" s="1"/>
  <c r="D34" i="17"/>
  <c r="H33" i="28" s="1"/>
  <c r="D33" i="17"/>
  <c r="H32" i="28" s="1"/>
  <c r="D32" i="17"/>
  <c r="H31" i="28" s="1"/>
  <c r="H42" i="28" s="1"/>
  <c r="E31" i="17"/>
  <c r="D31" i="17"/>
  <c r="H30" i="28" s="1"/>
  <c r="E30" i="17"/>
  <c r="D30" i="17"/>
  <c r="H29" i="28" s="1"/>
  <c r="E29" i="17"/>
  <c r="D29" i="17"/>
  <c r="H28" i="28" s="1"/>
  <c r="E28" i="17"/>
  <c r="D28" i="17"/>
  <c r="H27" i="28" s="1"/>
  <c r="E27" i="17"/>
  <c r="D27" i="17"/>
  <c r="H26" i="28" s="1"/>
  <c r="E26" i="17"/>
  <c r="D26" i="17"/>
  <c r="H25" i="28" s="1"/>
  <c r="E25" i="17"/>
  <c r="D25" i="17"/>
  <c r="H24" i="28" s="1"/>
  <c r="E24" i="17"/>
  <c r="D24" i="17"/>
  <c r="H23" i="28" s="1"/>
  <c r="E23" i="17"/>
  <c r="D23" i="17"/>
  <c r="H22" i="28" s="1"/>
  <c r="E22" i="17"/>
  <c r="D22" i="17"/>
  <c r="H21" i="28" s="1"/>
  <c r="E21" i="17"/>
  <c r="D21" i="17"/>
  <c r="H20" i="28" s="1"/>
  <c r="E20" i="17"/>
  <c r="D20" i="17"/>
  <c r="H19" i="28" s="1"/>
  <c r="E19" i="17"/>
  <c r="D19" i="17"/>
  <c r="H18" i="28" s="1"/>
  <c r="E18" i="17"/>
  <c r="D18" i="17"/>
  <c r="H17" i="28" s="1"/>
  <c r="E17" i="17"/>
  <c r="D17" i="17"/>
  <c r="H16" i="28" s="1"/>
  <c r="E16" i="17"/>
  <c r="D16" i="17"/>
  <c r="H15" i="28" s="1"/>
  <c r="E15" i="17"/>
  <c r="D15" i="17"/>
  <c r="H14" i="28" s="1"/>
  <c r="E14" i="17"/>
  <c r="D14" i="17"/>
  <c r="H13" i="28" s="1"/>
  <c r="E13" i="17"/>
  <c r="D13" i="17"/>
  <c r="H12" i="28" s="1"/>
  <c r="C11" i="17"/>
  <c r="G11" i="17" s="1"/>
  <c r="H9" i="28"/>
  <c r="H8" i="28"/>
  <c r="H7" i="28"/>
  <c r="H6" i="28"/>
  <c r="H5" i="28"/>
  <c r="C37" i="16"/>
  <c r="D35" i="16"/>
  <c r="I34" i="28" s="1"/>
  <c r="D34" i="16"/>
  <c r="I33" i="28" s="1"/>
  <c r="D33" i="16"/>
  <c r="I32" i="28" s="1"/>
  <c r="D32" i="16"/>
  <c r="I31" i="28" s="1"/>
  <c r="I42" i="28" s="1"/>
  <c r="E31" i="16"/>
  <c r="D31" i="16"/>
  <c r="I30" i="28" s="1"/>
  <c r="E30" i="16"/>
  <c r="D30" i="16"/>
  <c r="I29" i="28" s="1"/>
  <c r="E29" i="16"/>
  <c r="D29" i="16"/>
  <c r="I28" i="28" s="1"/>
  <c r="E28" i="16"/>
  <c r="D28" i="16"/>
  <c r="I27" i="28" s="1"/>
  <c r="E27" i="16"/>
  <c r="D27" i="16"/>
  <c r="I26" i="28" s="1"/>
  <c r="E26" i="16"/>
  <c r="D26" i="16"/>
  <c r="I25" i="28" s="1"/>
  <c r="E25" i="16"/>
  <c r="D25" i="16"/>
  <c r="I24" i="28" s="1"/>
  <c r="E24" i="16"/>
  <c r="D24" i="16"/>
  <c r="I23" i="28" s="1"/>
  <c r="E23" i="16"/>
  <c r="D23" i="16"/>
  <c r="I22" i="28" s="1"/>
  <c r="E22" i="16"/>
  <c r="D22" i="16"/>
  <c r="I21" i="28" s="1"/>
  <c r="E21" i="16"/>
  <c r="D21" i="16"/>
  <c r="I20" i="28" s="1"/>
  <c r="E20" i="16"/>
  <c r="D20" i="16"/>
  <c r="I19" i="28" s="1"/>
  <c r="E19" i="16"/>
  <c r="D19" i="16"/>
  <c r="I18" i="28" s="1"/>
  <c r="E18" i="16"/>
  <c r="D18" i="16"/>
  <c r="I17" i="28" s="1"/>
  <c r="E17" i="16"/>
  <c r="D17" i="16"/>
  <c r="I16" i="28" s="1"/>
  <c r="E16" i="16"/>
  <c r="D16" i="16"/>
  <c r="I15" i="28" s="1"/>
  <c r="E15" i="16"/>
  <c r="D15" i="16"/>
  <c r="I14" i="28" s="1"/>
  <c r="E14" i="16"/>
  <c r="D14" i="16"/>
  <c r="I13" i="28" s="1"/>
  <c r="E13" i="16"/>
  <c r="D13" i="16"/>
  <c r="I12" i="28" s="1"/>
  <c r="C11" i="16"/>
  <c r="G11" i="16" s="1"/>
  <c r="I9" i="28"/>
  <c r="I8" i="28"/>
  <c r="I7" i="28"/>
  <c r="I6" i="28"/>
  <c r="I5" i="28"/>
  <c r="C37" i="15"/>
  <c r="D35" i="15"/>
  <c r="J34" i="28" s="1"/>
  <c r="D34" i="15"/>
  <c r="J33" i="28" s="1"/>
  <c r="D33" i="15"/>
  <c r="J32" i="28" s="1"/>
  <c r="D32" i="15"/>
  <c r="J31" i="28" s="1"/>
  <c r="J42" i="28" s="1"/>
  <c r="E31" i="15"/>
  <c r="D31" i="15"/>
  <c r="J30" i="28" s="1"/>
  <c r="E30" i="15"/>
  <c r="D30" i="15"/>
  <c r="J29" i="28" s="1"/>
  <c r="E29" i="15"/>
  <c r="D29" i="15"/>
  <c r="J28" i="28" s="1"/>
  <c r="E28" i="15"/>
  <c r="D28" i="15"/>
  <c r="J27" i="28" s="1"/>
  <c r="E27" i="15"/>
  <c r="D27" i="15"/>
  <c r="J26" i="28" s="1"/>
  <c r="E26" i="15"/>
  <c r="D26" i="15"/>
  <c r="J25" i="28" s="1"/>
  <c r="E25" i="15"/>
  <c r="D25" i="15"/>
  <c r="J24" i="28" s="1"/>
  <c r="E24" i="15"/>
  <c r="D24" i="15"/>
  <c r="J23" i="28" s="1"/>
  <c r="E23" i="15"/>
  <c r="D23" i="15"/>
  <c r="J22" i="28" s="1"/>
  <c r="E22" i="15"/>
  <c r="D22" i="15"/>
  <c r="J21" i="28" s="1"/>
  <c r="E21" i="15"/>
  <c r="D21" i="15"/>
  <c r="J20" i="28" s="1"/>
  <c r="E20" i="15"/>
  <c r="D20" i="15"/>
  <c r="J19" i="28" s="1"/>
  <c r="E19" i="15"/>
  <c r="D19" i="15"/>
  <c r="J18" i="28" s="1"/>
  <c r="E18" i="15"/>
  <c r="D18" i="15"/>
  <c r="J17" i="28" s="1"/>
  <c r="E17" i="15"/>
  <c r="D17" i="15"/>
  <c r="J16" i="28" s="1"/>
  <c r="E16" i="15"/>
  <c r="D16" i="15"/>
  <c r="J15" i="28" s="1"/>
  <c r="E15" i="15"/>
  <c r="D15" i="15"/>
  <c r="J14" i="28" s="1"/>
  <c r="E14" i="15"/>
  <c r="D14" i="15"/>
  <c r="J13" i="28" s="1"/>
  <c r="E13" i="15"/>
  <c r="D13" i="15"/>
  <c r="J12" i="28" s="1"/>
  <c r="C11" i="15"/>
  <c r="G11" i="15" s="1"/>
  <c r="J9" i="28"/>
  <c r="J8" i="28"/>
  <c r="J7" i="28"/>
  <c r="J5" i="28"/>
  <c r="C37" i="14"/>
  <c r="D35" i="14"/>
  <c r="K34" i="28" s="1"/>
  <c r="D34" i="14"/>
  <c r="K33" i="28" s="1"/>
  <c r="D33" i="14"/>
  <c r="K32" i="28" s="1"/>
  <c r="D32" i="14"/>
  <c r="K31" i="28" s="1"/>
  <c r="K42" i="28" s="1"/>
  <c r="E31" i="14"/>
  <c r="D31" i="14"/>
  <c r="K30" i="28" s="1"/>
  <c r="E30" i="14"/>
  <c r="D30" i="14"/>
  <c r="K29" i="28" s="1"/>
  <c r="E29" i="14"/>
  <c r="D29" i="14"/>
  <c r="K28" i="28" s="1"/>
  <c r="E28" i="14"/>
  <c r="D28" i="14"/>
  <c r="K27" i="28" s="1"/>
  <c r="E27" i="14"/>
  <c r="D27" i="14"/>
  <c r="K26" i="28" s="1"/>
  <c r="E26" i="14"/>
  <c r="D26" i="14"/>
  <c r="K25" i="28" s="1"/>
  <c r="E25" i="14"/>
  <c r="D25" i="14"/>
  <c r="K24" i="28" s="1"/>
  <c r="E24" i="14"/>
  <c r="D24" i="14"/>
  <c r="K23" i="28" s="1"/>
  <c r="E23" i="14"/>
  <c r="D23" i="14"/>
  <c r="K22" i="28" s="1"/>
  <c r="E22" i="14"/>
  <c r="D22" i="14"/>
  <c r="K21" i="28" s="1"/>
  <c r="E21" i="14"/>
  <c r="D21" i="14"/>
  <c r="K20" i="28" s="1"/>
  <c r="E20" i="14"/>
  <c r="D20" i="14"/>
  <c r="K19" i="28" s="1"/>
  <c r="E19" i="14"/>
  <c r="D19" i="14"/>
  <c r="K18" i="28" s="1"/>
  <c r="E18" i="14"/>
  <c r="D18" i="14"/>
  <c r="K17" i="28" s="1"/>
  <c r="E17" i="14"/>
  <c r="D17" i="14"/>
  <c r="K16" i="28" s="1"/>
  <c r="E16" i="14"/>
  <c r="D16" i="14"/>
  <c r="K15" i="28" s="1"/>
  <c r="E15" i="14"/>
  <c r="D15" i="14"/>
  <c r="K14" i="28" s="1"/>
  <c r="E14" i="14"/>
  <c r="D14" i="14"/>
  <c r="K13" i="28" s="1"/>
  <c r="E13" i="14"/>
  <c r="D13" i="14"/>
  <c r="K12" i="28" s="1"/>
  <c r="C11" i="14"/>
  <c r="G11" i="14" s="1"/>
  <c r="K9" i="28"/>
  <c r="K8" i="28"/>
  <c r="K7" i="28"/>
  <c r="K6" i="28"/>
  <c r="K5" i="28"/>
  <c r="C37" i="13"/>
  <c r="D35" i="13"/>
  <c r="L34" i="28" s="1"/>
  <c r="D34" i="13"/>
  <c r="L33" i="28" s="1"/>
  <c r="D33" i="13"/>
  <c r="L32" i="28" s="1"/>
  <c r="D32" i="13"/>
  <c r="L31" i="28" s="1"/>
  <c r="L42" i="28" s="1"/>
  <c r="E31" i="13"/>
  <c r="D31" i="13"/>
  <c r="L30" i="28" s="1"/>
  <c r="E30" i="13"/>
  <c r="D30" i="13"/>
  <c r="L29" i="28" s="1"/>
  <c r="E29" i="13"/>
  <c r="D29" i="13"/>
  <c r="L28" i="28" s="1"/>
  <c r="E28" i="13"/>
  <c r="D28" i="13"/>
  <c r="L27" i="28" s="1"/>
  <c r="E27" i="13"/>
  <c r="D27" i="13"/>
  <c r="L26" i="28" s="1"/>
  <c r="E26" i="13"/>
  <c r="D26" i="13"/>
  <c r="L25" i="28" s="1"/>
  <c r="E25" i="13"/>
  <c r="D25" i="13"/>
  <c r="L24" i="28" s="1"/>
  <c r="E24" i="13"/>
  <c r="D24" i="13"/>
  <c r="L23" i="28" s="1"/>
  <c r="E23" i="13"/>
  <c r="D23" i="13"/>
  <c r="L22" i="28" s="1"/>
  <c r="E22" i="13"/>
  <c r="D22" i="13"/>
  <c r="L21" i="28" s="1"/>
  <c r="E21" i="13"/>
  <c r="D21" i="13"/>
  <c r="L20" i="28" s="1"/>
  <c r="E20" i="13"/>
  <c r="D20" i="13"/>
  <c r="L19" i="28" s="1"/>
  <c r="E19" i="13"/>
  <c r="D19" i="13"/>
  <c r="L18" i="28" s="1"/>
  <c r="E18" i="13"/>
  <c r="D18" i="13"/>
  <c r="L17" i="28" s="1"/>
  <c r="E17" i="13"/>
  <c r="D17" i="13"/>
  <c r="L16" i="28" s="1"/>
  <c r="E16" i="13"/>
  <c r="L15" i="28"/>
  <c r="E15" i="13"/>
  <c r="D15" i="13"/>
  <c r="L14" i="28" s="1"/>
  <c r="E14" i="13"/>
  <c r="D14" i="13"/>
  <c r="L13" i="28" s="1"/>
  <c r="E13" i="13"/>
  <c r="D13" i="13"/>
  <c r="L12" i="28" s="1"/>
  <c r="C11" i="13"/>
  <c r="G11" i="13" s="1"/>
  <c r="L9" i="28"/>
  <c r="L8" i="28"/>
  <c r="L7" i="28"/>
  <c r="L6" i="28"/>
  <c r="C37" i="12"/>
  <c r="D35" i="12"/>
  <c r="M34" i="28" s="1"/>
  <c r="D34" i="12"/>
  <c r="M33" i="28" s="1"/>
  <c r="D33" i="12"/>
  <c r="M32" i="28" s="1"/>
  <c r="D32" i="12"/>
  <c r="M31" i="28" s="1"/>
  <c r="M42" i="28" s="1"/>
  <c r="E31" i="12"/>
  <c r="D31" i="12"/>
  <c r="M30" i="28" s="1"/>
  <c r="E30" i="12"/>
  <c r="D30" i="12"/>
  <c r="M29" i="28" s="1"/>
  <c r="E29" i="12"/>
  <c r="D29" i="12"/>
  <c r="M28" i="28" s="1"/>
  <c r="E28" i="12"/>
  <c r="D28" i="12"/>
  <c r="M27" i="28" s="1"/>
  <c r="E27" i="12"/>
  <c r="D27" i="12"/>
  <c r="M26" i="28" s="1"/>
  <c r="E26" i="12"/>
  <c r="D26" i="12"/>
  <c r="M25" i="28" s="1"/>
  <c r="E25" i="12"/>
  <c r="D25" i="12"/>
  <c r="M24" i="28" s="1"/>
  <c r="E24" i="12"/>
  <c r="D24" i="12"/>
  <c r="M23" i="28" s="1"/>
  <c r="E23" i="12"/>
  <c r="D23" i="12"/>
  <c r="M22" i="28" s="1"/>
  <c r="E22" i="12"/>
  <c r="D22" i="12"/>
  <c r="M21" i="28" s="1"/>
  <c r="E21" i="12"/>
  <c r="D21" i="12"/>
  <c r="M20" i="28" s="1"/>
  <c r="E20" i="12"/>
  <c r="D20" i="12"/>
  <c r="M19" i="28" s="1"/>
  <c r="E19" i="12"/>
  <c r="D19" i="12"/>
  <c r="M18" i="28" s="1"/>
  <c r="E18" i="12"/>
  <c r="D18" i="12"/>
  <c r="M17" i="28" s="1"/>
  <c r="E17" i="12"/>
  <c r="D17" i="12"/>
  <c r="M16" i="28" s="1"/>
  <c r="E16" i="12"/>
  <c r="D16" i="12"/>
  <c r="M15" i="28" s="1"/>
  <c r="E15" i="12"/>
  <c r="D15" i="12"/>
  <c r="M14" i="28" s="1"/>
  <c r="E14" i="12"/>
  <c r="D14" i="12"/>
  <c r="M13" i="28" s="1"/>
  <c r="E13" i="12"/>
  <c r="D13" i="12"/>
  <c r="C11" i="12"/>
  <c r="G11" i="12" s="1"/>
  <c r="M9" i="28"/>
  <c r="M8" i="28"/>
  <c r="M7" i="28"/>
  <c r="M5" i="28"/>
  <c r="C37" i="11"/>
  <c r="D35" i="11"/>
  <c r="N34" i="28" s="1"/>
  <c r="D34" i="11"/>
  <c r="N33" i="28" s="1"/>
  <c r="D33" i="11"/>
  <c r="N32" i="28" s="1"/>
  <c r="D32" i="11"/>
  <c r="N31" i="28" s="1"/>
  <c r="N42" i="28" s="1"/>
  <c r="E31" i="11"/>
  <c r="D31" i="11"/>
  <c r="N30" i="28" s="1"/>
  <c r="E30" i="11"/>
  <c r="D30" i="11"/>
  <c r="N29" i="28" s="1"/>
  <c r="E29" i="11"/>
  <c r="D29" i="11"/>
  <c r="N28" i="28" s="1"/>
  <c r="E28" i="11"/>
  <c r="D28" i="11"/>
  <c r="N27" i="28" s="1"/>
  <c r="E27" i="11"/>
  <c r="D27" i="11"/>
  <c r="N26" i="28" s="1"/>
  <c r="E26" i="11"/>
  <c r="D26" i="11"/>
  <c r="N25" i="28" s="1"/>
  <c r="E25" i="11"/>
  <c r="D25" i="11"/>
  <c r="N24" i="28" s="1"/>
  <c r="E24" i="11"/>
  <c r="D24" i="11"/>
  <c r="N23" i="28" s="1"/>
  <c r="E23" i="11"/>
  <c r="D23" i="11"/>
  <c r="N22" i="28" s="1"/>
  <c r="E22" i="11"/>
  <c r="D22" i="11"/>
  <c r="N21" i="28" s="1"/>
  <c r="E21" i="11"/>
  <c r="D21" i="11"/>
  <c r="N20" i="28" s="1"/>
  <c r="E20" i="11"/>
  <c r="D20" i="11"/>
  <c r="N19" i="28" s="1"/>
  <c r="E19" i="11"/>
  <c r="D19" i="11"/>
  <c r="N18" i="28" s="1"/>
  <c r="E18" i="11"/>
  <c r="D18" i="11"/>
  <c r="N17" i="28" s="1"/>
  <c r="E17" i="11"/>
  <c r="D17" i="11"/>
  <c r="N16" i="28" s="1"/>
  <c r="E16" i="11"/>
  <c r="D16" i="11"/>
  <c r="N15" i="28" s="1"/>
  <c r="E15" i="11"/>
  <c r="D15" i="11"/>
  <c r="N14" i="28" s="1"/>
  <c r="E14" i="11"/>
  <c r="D14" i="11"/>
  <c r="N13" i="28" s="1"/>
  <c r="E13" i="11"/>
  <c r="D13" i="11"/>
  <c r="C11" i="11"/>
  <c r="G11" i="11" s="1"/>
  <c r="N9" i="28"/>
  <c r="N8" i="28"/>
  <c r="N7" i="28"/>
  <c r="N6" i="28"/>
  <c r="C37" i="10"/>
  <c r="D35" i="10"/>
  <c r="O34" i="28" s="1"/>
  <c r="D34" i="10"/>
  <c r="O33" i="28" s="1"/>
  <c r="D33" i="10"/>
  <c r="O32" i="28" s="1"/>
  <c r="D32" i="10"/>
  <c r="O31" i="28" s="1"/>
  <c r="O42" i="28" s="1"/>
  <c r="E31" i="10"/>
  <c r="D31" i="10"/>
  <c r="O30" i="28" s="1"/>
  <c r="E30" i="10"/>
  <c r="D30" i="10"/>
  <c r="O29" i="28" s="1"/>
  <c r="E29" i="10"/>
  <c r="D29" i="10"/>
  <c r="O28" i="28" s="1"/>
  <c r="E28" i="10"/>
  <c r="D28" i="10"/>
  <c r="O27" i="28" s="1"/>
  <c r="E27" i="10"/>
  <c r="D27" i="10"/>
  <c r="O26" i="28" s="1"/>
  <c r="E26" i="10"/>
  <c r="D26" i="10"/>
  <c r="O25" i="28" s="1"/>
  <c r="E25" i="10"/>
  <c r="D25" i="10"/>
  <c r="O24" i="28" s="1"/>
  <c r="E24" i="10"/>
  <c r="D24" i="10"/>
  <c r="O23" i="28" s="1"/>
  <c r="E23" i="10"/>
  <c r="D23" i="10"/>
  <c r="O22" i="28" s="1"/>
  <c r="E22" i="10"/>
  <c r="D22" i="10"/>
  <c r="O21" i="28" s="1"/>
  <c r="E21" i="10"/>
  <c r="D21" i="10"/>
  <c r="O20" i="28" s="1"/>
  <c r="E20" i="10"/>
  <c r="D20" i="10"/>
  <c r="O19" i="28" s="1"/>
  <c r="E19" i="10"/>
  <c r="D19" i="10"/>
  <c r="O18" i="28" s="1"/>
  <c r="E18" i="10"/>
  <c r="D18" i="10"/>
  <c r="O17" i="28" s="1"/>
  <c r="E17" i="10"/>
  <c r="D17" i="10"/>
  <c r="O16" i="28" s="1"/>
  <c r="E16" i="10"/>
  <c r="D16" i="10"/>
  <c r="O15" i="28" s="1"/>
  <c r="E15" i="10"/>
  <c r="D15" i="10"/>
  <c r="O14" i="28" s="1"/>
  <c r="E14" i="10"/>
  <c r="D14" i="10"/>
  <c r="O13" i="28" s="1"/>
  <c r="E13" i="10"/>
  <c r="D13" i="10"/>
  <c r="O12" i="28" s="1"/>
  <c r="C11" i="10"/>
  <c r="G11" i="10" s="1"/>
  <c r="O9" i="28"/>
  <c r="O8" i="28"/>
  <c r="O7" i="28"/>
  <c r="O6" i="28"/>
  <c r="O5" i="28"/>
  <c r="D35" i="9"/>
  <c r="F34" i="28" s="1"/>
  <c r="D34" i="9"/>
  <c r="F33" i="28" s="1"/>
  <c r="D33" i="9"/>
  <c r="F32" i="28" s="1"/>
  <c r="D32" i="9"/>
  <c r="F31" i="28" s="1"/>
  <c r="F42" i="28" s="1"/>
  <c r="E31" i="9"/>
  <c r="D31" i="9"/>
  <c r="F30" i="28" s="1"/>
  <c r="E30" i="9"/>
  <c r="D30" i="9"/>
  <c r="F29" i="28" s="1"/>
  <c r="E29" i="9"/>
  <c r="D29" i="9"/>
  <c r="F28" i="28" s="1"/>
  <c r="E28" i="9"/>
  <c r="D28" i="9"/>
  <c r="F27" i="28" s="1"/>
  <c r="E27" i="9"/>
  <c r="D27" i="9"/>
  <c r="F26" i="28" s="1"/>
  <c r="E26" i="9"/>
  <c r="D26" i="9"/>
  <c r="F25" i="28" s="1"/>
  <c r="E25" i="9"/>
  <c r="D25" i="9"/>
  <c r="F24" i="28" s="1"/>
  <c r="E24" i="9"/>
  <c r="D24" i="9"/>
  <c r="F23" i="28" s="1"/>
  <c r="E23" i="9"/>
  <c r="D23" i="9"/>
  <c r="F22" i="28" s="1"/>
  <c r="E22" i="9"/>
  <c r="D22" i="9"/>
  <c r="F21" i="28" s="1"/>
  <c r="E21" i="9"/>
  <c r="D21" i="9"/>
  <c r="F20" i="28" s="1"/>
  <c r="E20" i="9"/>
  <c r="D20" i="9"/>
  <c r="F19" i="28" s="1"/>
  <c r="E19" i="9"/>
  <c r="D19" i="9"/>
  <c r="F18" i="28" s="1"/>
  <c r="E18" i="9"/>
  <c r="D18" i="9"/>
  <c r="F17" i="28" s="1"/>
  <c r="E17" i="9"/>
  <c r="D17" i="9"/>
  <c r="F16" i="28" s="1"/>
  <c r="E16" i="9"/>
  <c r="D16" i="9"/>
  <c r="F15" i="28" s="1"/>
  <c r="E15" i="9"/>
  <c r="D15" i="9"/>
  <c r="F14" i="28" s="1"/>
  <c r="E14" i="9"/>
  <c r="D14" i="9"/>
  <c r="F13" i="28" s="1"/>
  <c r="E13" i="9"/>
  <c r="D13" i="9"/>
  <c r="F12" i="28" s="1"/>
  <c r="C11" i="9"/>
  <c r="G11" i="9" s="1"/>
  <c r="F9" i="28"/>
  <c r="F8" i="28"/>
  <c r="F7" i="28"/>
  <c r="F6" i="28"/>
  <c r="F5" i="28"/>
  <c r="E29" i="8"/>
  <c r="D33" i="5"/>
  <c r="D33" i="4"/>
  <c r="C32" i="28" s="1"/>
  <c r="D33" i="7"/>
  <c r="D32" i="28" s="1"/>
  <c r="D33" i="8"/>
  <c r="E32" i="28" s="1"/>
  <c r="D35" i="8"/>
  <c r="E34" i="28" s="1"/>
  <c r="D34" i="8"/>
  <c r="E33" i="28" s="1"/>
  <c r="D32" i="8"/>
  <c r="E31" i="28" s="1"/>
  <c r="E42" i="28" s="1"/>
  <c r="E31" i="8"/>
  <c r="D31" i="8"/>
  <c r="E30" i="28" s="1"/>
  <c r="E30" i="8"/>
  <c r="D30" i="8"/>
  <c r="E29" i="28" s="1"/>
  <c r="D29" i="8"/>
  <c r="E28" i="28" s="1"/>
  <c r="E28" i="8"/>
  <c r="D28" i="8"/>
  <c r="E27" i="28" s="1"/>
  <c r="E27" i="8"/>
  <c r="D27" i="8"/>
  <c r="E26" i="28" s="1"/>
  <c r="E26" i="8"/>
  <c r="D26" i="8"/>
  <c r="E25" i="28" s="1"/>
  <c r="E24" i="8"/>
  <c r="D24" i="8"/>
  <c r="E23" i="28" s="1"/>
  <c r="E23" i="8"/>
  <c r="D23" i="8"/>
  <c r="E22" i="28" s="1"/>
  <c r="E22" i="8"/>
  <c r="D22" i="8"/>
  <c r="E21" i="28" s="1"/>
  <c r="E21" i="8"/>
  <c r="D21" i="8"/>
  <c r="E20" i="28" s="1"/>
  <c r="E20" i="8"/>
  <c r="D20" i="8"/>
  <c r="E19" i="28" s="1"/>
  <c r="E19" i="8"/>
  <c r="D19" i="8"/>
  <c r="E18" i="28" s="1"/>
  <c r="E18" i="8"/>
  <c r="D18" i="8"/>
  <c r="E17" i="28" s="1"/>
  <c r="E17" i="8"/>
  <c r="D17" i="8"/>
  <c r="E16" i="28" s="1"/>
  <c r="E16" i="8"/>
  <c r="D16" i="8"/>
  <c r="E15" i="28" s="1"/>
  <c r="E15" i="8"/>
  <c r="D15" i="8"/>
  <c r="E14" i="28" s="1"/>
  <c r="E14" i="8"/>
  <c r="D14" i="8"/>
  <c r="E13" i="28" s="1"/>
  <c r="E13" i="8"/>
  <c r="D13" i="8"/>
  <c r="E12" i="28" s="1"/>
  <c r="C11" i="8"/>
  <c r="G11" i="8" s="1"/>
  <c r="E9" i="28"/>
  <c r="E8" i="28"/>
  <c r="E7" i="28"/>
  <c r="E6" i="28"/>
  <c r="E5" i="28"/>
  <c r="C37" i="7"/>
  <c r="D40" i="5"/>
  <c r="D35" i="7"/>
  <c r="D34" i="28" s="1"/>
  <c r="D34" i="7"/>
  <c r="D33" i="28" s="1"/>
  <c r="D32" i="7"/>
  <c r="D31" i="28" s="1"/>
  <c r="D42" i="28" s="1"/>
  <c r="E31" i="7"/>
  <c r="D31" i="7"/>
  <c r="D30" i="28" s="1"/>
  <c r="E30" i="7"/>
  <c r="D30" i="7"/>
  <c r="D29" i="28" s="1"/>
  <c r="E29" i="7"/>
  <c r="D29" i="7"/>
  <c r="D28" i="28" s="1"/>
  <c r="E28" i="7"/>
  <c r="D28" i="7"/>
  <c r="D27" i="28" s="1"/>
  <c r="E27" i="7"/>
  <c r="D27" i="7"/>
  <c r="D26" i="28" s="1"/>
  <c r="E26" i="7"/>
  <c r="D26" i="7"/>
  <c r="D25" i="28" s="1"/>
  <c r="E25" i="7"/>
  <c r="D25" i="7"/>
  <c r="D24" i="28" s="1"/>
  <c r="E24" i="7"/>
  <c r="D24" i="7"/>
  <c r="D23" i="28" s="1"/>
  <c r="E23" i="7"/>
  <c r="D23" i="7"/>
  <c r="D22" i="28" s="1"/>
  <c r="E22" i="7"/>
  <c r="D22" i="7"/>
  <c r="D21" i="28" s="1"/>
  <c r="E21" i="7"/>
  <c r="D21" i="7"/>
  <c r="D20" i="28" s="1"/>
  <c r="E20" i="7"/>
  <c r="D20" i="7"/>
  <c r="D19" i="28" s="1"/>
  <c r="E19" i="7"/>
  <c r="D19" i="7"/>
  <c r="D18" i="28" s="1"/>
  <c r="E18" i="7"/>
  <c r="D18" i="7"/>
  <c r="D17" i="28" s="1"/>
  <c r="E17" i="7"/>
  <c r="D17" i="7"/>
  <c r="D16" i="28" s="1"/>
  <c r="E16" i="7"/>
  <c r="D16" i="7"/>
  <c r="D15" i="28" s="1"/>
  <c r="E15" i="7"/>
  <c r="D15" i="7"/>
  <c r="D14" i="28" s="1"/>
  <c r="E14" i="7"/>
  <c r="D14" i="7"/>
  <c r="D13" i="28" s="1"/>
  <c r="E13" i="7"/>
  <c r="D13" i="7"/>
  <c r="D12" i="28" s="1"/>
  <c r="C11" i="7"/>
  <c r="G11" i="7" s="1"/>
  <c r="D9" i="28"/>
  <c r="D8" i="28"/>
  <c r="D7" i="28"/>
  <c r="D6" i="28"/>
  <c r="D5" i="28"/>
  <c r="D34" i="5"/>
  <c r="D34" i="4"/>
  <c r="C33" i="28" s="1"/>
  <c r="D32" i="5"/>
  <c r="D32" i="4"/>
  <c r="C31" i="28" s="1"/>
  <c r="C42" i="28" s="1"/>
  <c r="D35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D16" i="5"/>
  <c r="E15" i="5"/>
  <c r="D15" i="5"/>
  <c r="E14" i="5"/>
  <c r="D14" i="5"/>
  <c r="C37" i="5"/>
  <c r="C40" i="5" s="1"/>
  <c r="C11" i="5"/>
  <c r="D10" i="5"/>
  <c r="D9" i="5"/>
  <c r="D8" i="5"/>
  <c r="D7" i="5"/>
  <c r="D6" i="5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13" i="4"/>
  <c r="C37" i="4"/>
  <c r="D16" i="4"/>
  <c r="C15" i="28" s="1"/>
  <c r="D23" i="4"/>
  <c r="C22" i="28" s="1"/>
  <c r="D30" i="4"/>
  <c r="C29" i="28" s="1"/>
  <c r="D35" i="4"/>
  <c r="C34" i="28" s="1"/>
  <c r="D31" i="4"/>
  <c r="C30" i="28" s="1"/>
  <c r="D29" i="4"/>
  <c r="C28" i="28" s="1"/>
  <c r="D28" i="4"/>
  <c r="C27" i="28" s="1"/>
  <c r="D27" i="4"/>
  <c r="C26" i="28" s="1"/>
  <c r="D26" i="4"/>
  <c r="C25" i="28" s="1"/>
  <c r="D25" i="4"/>
  <c r="C24" i="28" s="1"/>
  <c r="D24" i="4"/>
  <c r="C23" i="28" s="1"/>
  <c r="D22" i="4"/>
  <c r="C21" i="28" s="1"/>
  <c r="D21" i="4"/>
  <c r="C20" i="28" s="1"/>
  <c r="D20" i="4"/>
  <c r="C19" i="28" s="1"/>
  <c r="D19" i="4"/>
  <c r="C18" i="28" s="1"/>
  <c r="D18" i="4"/>
  <c r="C17" i="28" s="1"/>
  <c r="D17" i="4"/>
  <c r="C16" i="28" s="1"/>
  <c r="D15" i="4"/>
  <c r="C14" i="28" s="1"/>
  <c r="D14" i="4"/>
  <c r="C13" i="28" s="1"/>
  <c r="D13" i="4"/>
  <c r="C12" i="28" s="1"/>
  <c r="C11" i="4"/>
  <c r="G11" i="4" s="1"/>
  <c r="C9" i="28"/>
  <c r="C8" i="28"/>
  <c r="C7" i="28"/>
  <c r="C6" i="28"/>
  <c r="C5" i="28"/>
  <c r="Y38" i="28" l="1"/>
  <c r="AG38" i="28"/>
  <c r="C40" i="7"/>
  <c r="AC38" i="28"/>
  <c r="D11" i="5"/>
  <c r="AF38" i="28"/>
  <c r="AE38" i="28"/>
  <c r="AD38" i="28"/>
  <c r="AB38" i="28"/>
  <c r="AA38" i="28"/>
  <c r="X38" i="28"/>
  <c r="Q38" i="28"/>
  <c r="D36" i="28"/>
  <c r="F36" i="28"/>
  <c r="G36" i="28"/>
  <c r="R38" i="28"/>
  <c r="T38" i="28"/>
  <c r="U38" i="28"/>
  <c r="V38" i="28"/>
  <c r="W38" i="28"/>
  <c r="P38" i="28"/>
  <c r="K36" i="28"/>
  <c r="I36" i="28"/>
  <c r="S38" i="28"/>
  <c r="Z38" i="28"/>
  <c r="J36" i="28"/>
  <c r="H36" i="28"/>
  <c r="D11" i="15"/>
  <c r="J10" i="28" s="1"/>
  <c r="J40" i="28" s="1"/>
  <c r="J6" i="28"/>
  <c r="AI9" i="28"/>
  <c r="C10" i="38" s="1"/>
  <c r="B7" i="40" s="1"/>
  <c r="C36" i="28"/>
  <c r="C40" i="4"/>
  <c r="AI13" i="28"/>
  <c r="C14" i="38" s="1"/>
  <c r="B12" i="40" s="1"/>
  <c r="AI29" i="28"/>
  <c r="C30" i="38" s="1"/>
  <c r="B28" i="40" s="1"/>
  <c r="D11" i="10"/>
  <c r="O10" i="28" s="1"/>
  <c r="O40" i="28" s="1"/>
  <c r="D37" i="11"/>
  <c r="N12" i="28"/>
  <c r="N36" i="28" s="1"/>
  <c r="AI8" i="28"/>
  <c r="C9" i="38" s="1"/>
  <c r="D11" i="11"/>
  <c r="N10" i="28" s="1"/>
  <c r="N40" i="28" s="1"/>
  <c r="N5" i="28"/>
  <c r="C40" i="11"/>
  <c r="O36" i="28"/>
  <c r="C40" i="10"/>
  <c r="D37" i="10"/>
  <c r="D11" i="12"/>
  <c r="M10" i="28" s="1"/>
  <c r="M40" i="28" s="1"/>
  <c r="M6" i="28"/>
  <c r="AI7" i="28"/>
  <c r="C8" i="38" s="1"/>
  <c r="B5" i="40" s="1"/>
  <c r="C40" i="13"/>
  <c r="D11" i="13"/>
  <c r="L10" i="28" s="1"/>
  <c r="L40" i="28" s="1"/>
  <c r="L5" i="28"/>
  <c r="AI25" i="28"/>
  <c r="C26" i="38" s="1"/>
  <c r="B24" i="40" s="1"/>
  <c r="AI27" i="28"/>
  <c r="C28" i="38" s="1"/>
  <c r="B26" i="40" s="1"/>
  <c r="AI31" i="28"/>
  <c r="C32" i="38" s="1"/>
  <c r="B30" i="40" s="1"/>
  <c r="C40" i="12"/>
  <c r="D37" i="12"/>
  <c r="M12" i="28"/>
  <c r="M36" i="28" s="1"/>
  <c r="AI34" i="28"/>
  <c r="C35" i="38" s="1"/>
  <c r="B33" i="40" s="1"/>
  <c r="AI15" i="28"/>
  <c r="C16" i="38" s="1"/>
  <c r="B14" i="40" s="1"/>
  <c r="AI19" i="28"/>
  <c r="C20" i="38" s="1"/>
  <c r="B18" i="40" s="1"/>
  <c r="AI21" i="28"/>
  <c r="C22" i="38" s="1"/>
  <c r="B20" i="40" s="1"/>
  <c r="L36" i="28"/>
  <c r="AI32" i="28"/>
  <c r="C33" i="38" s="1"/>
  <c r="B31" i="40" s="1"/>
  <c r="AI17" i="28"/>
  <c r="C18" i="38" s="1"/>
  <c r="B16" i="40" s="1"/>
  <c r="AI23" i="28"/>
  <c r="C24" i="38" s="1"/>
  <c r="B22" i="40" s="1"/>
  <c r="AI14" i="28"/>
  <c r="C15" i="38" s="1"/>
  <c r="B13" i="40" s="1"/>
  <c r="AI16" i="28"/>
  <c r="C17" i="38" s="1"/>
  <c r="B15" i="40" s="1"/>
  <c r="AI18" i="28"/>
  <c r="C19" i="38" s="1"/>
  <c r="B17" i="40" s="1"/>
  <c r="AI20" i="28"/>
  <c r="C21" i="38" s="1"/>
  <c r="B19" i="40" s="1"/>
  <c r="AI22" i="28"/>
  <c r="C23" i="38" s="1"/>
  <c r="B21" i="40" s="1"/>
  <c r="AI26" i="28"/>
  <c r="C27" i="38" s="1"/>
  <c r="B25" i="40" s="1"/>
  <c r="AI28" i="28"/>
  <c r="C29" i="38" s="1"/>
  <c r="B27" i="40" s="1"/>
  <c r="AI30" i="28"/>
  <c r="C31" i="38" s="1"/>
  <c r="B29" i="40" s="1"/>
  <c r="AI33" i="28"/>
  <c r="C34" i="38" s="1"/>
  <c r="D37" i="14"/>
  <c r="C40" i="14"/>
  <c r="D37" i="13"/>
  <c r="D11" i="14"/>
  <c r="K10" i="28" s="1"/>
  <c r="K40" i="28" s="1"/>
  <c r="C40" i="15"/>
  <c r="D37" i="15"/>
  <c r="D11" i="16"/>
  <c r="I10" i="28" s="1"/>
  <c r="I40" i="28" s="1"/>
  <c r="D37" i="16"/>
  <c r="C40" i="16"/>
  <c r="D11" i="17"/>
  <c r="H10" i="28" s="1"/>
  <c r="H40" i="28" s="1"/>
  <c r="D37" i="17"/>
  <c r="C40" i="17"/>
  <c r="D11" i="18"/>
  <c r="G10" i="28" s="1"/>
  <c r="G40" i="28" s="1"/>
  <c r="D37" i="18"/>
  <c r="C40" i="18"/>
  <c r="D11" i="9"/>
  <c r="F10" i="28" s="1"/>
  <c r="F40" i="28" s="1"/>
  <c r="C40" i="9"/>
  <c r="D37" i="9"/>
  <c r="C37" i="8"/>
  <c r="C40" i="8" s="1"/>
  <c r="D25" i="8"/>
  <c r="E25" i="8"/>
  <c r="D11" i="8"/>
  <c r="E10" i="28" s="1"/>
  <c r="E40" i="28" s="1"/>
  <c r="D37" i="7"/>
  <c r="D11" i="7"/>
  <c r="D10" i="28" s="1"/>
  <c r="D40" i="28" s="1"/>
  <c r="D13" i="5"/>
  <c r="D37" i="5" s="1"/>
  <c r="C42" i="5" s="1"/>
  <c r="E16" i="5"/>
  <c r="E13" i="5"/>
  <c r="D37" i="4"/>
  <c r="D11" i="4"/>
  <c r="C10" i="28" s="1"/>
  <c r="C40" i="28" s="1"/>
  <c r="B6" i="40" l="1"/>
  <c r="G9" i="38"/>
  <c r="B32" i="40"/>
  <c r="C42" i="4"/>
  <c r="D38" i="7" s="1"/>
  <c r="D40" i="7" s="1"/>
  <c r="C42" i="7" s="1"/>
  <c r="D38" i="8" s="1"/>
  <c r="D40" i="8" s="1"/>
  <c r="C42" i="8" s="1"/>
  <c r="D38" i="9" s="1"/>
  <c r="D40" i="9" s="1"/>
  <c r="C42" i="9" s="1"/>
  <c r="D38" i="28"/>
  <c r="AI6" i="28"/>
  <c r="C7" i="38" s="1"/>
  <c r="B4" i="40" s="1"/>
  <c r="AI10" i="28"/>
  <c r="C11" i="38" s="1"/>
  <c r="AI5" i="28"/>
  <c r="C6" i="38" s="1"/>
  <c r="C38" i="28"/>
  <c r="H38" i="28"/>
  <c r="G38" i="28"/>
  <c r="F38" i="28"/>
  <c r="K38" i="28"/>
  <c r="AI12" i="28"/>
  <c r="C13" i="38" s="1"/>
  <c r="B11" i="40" s="1"/>
  <c r="M38" i="28"/>
  <c r="I38" i="28"/>
  <c r="J38" i="28"/>
  <c r="D37" i="8"/>
  <c r="E24" i="28"/>
  <c r="L38" i="28"/>
  <c r="N38" i="28"/>
  <c r="O38" i="28"/>
  <c r="G16" i="38" l="1"/>
  <c r="B3" i="40"/>
  <c r="G13" i="38"/>
  <c r="D10" i="38"/>
  <c r="AI24" i="28"/>
  <c r="C25" i="38" s="1"/>
  <c r="E36" i="28"/>
  <c r="AI36" i="28" s="1"/>
  <c r="AI38" i="28" s="1"/>
  <c r="AI40" i="28" s="1"/>
  <c r="D38" i="18"/>
  <c r="D40" i="18" s="1"/>
  <c r="C42" i="18" s="1"/>
  <c r="D6" i="38"/>
  <c r="D7" i="38"/>
  <c r="D9" i="38"/>
  <c r="D8" i="38"/>
  <c r="E38" i="28" l="1"/>
  <c r="B23" i="40"/>
  <c r="C37" i="38"/>
  <c r="C40" i="38" s="1"/>
  <c r="D38" i="17"/>
  <c r="D40" i="17" s="1"/>
  <c r="C42" i="17" s="1"/>
  <c r="D13" i="38" l="1"/>
  <c r="D20" i="38"/>
  <c r="D23" i="38"/>
  <c r="D33" i="38"/>
  <c r="D27" i="38"/>
  <c r="D24" i="38"/>
  <c r="D22" i="38"/>
  <c r="D31" i="38"/>
  <c r="D30" i="38"/>
  <c r="D32" i="38"/>
  <c r="D25" i="38"/>
  <c r="D19" i="38"/>
  <c r="D17" i="38"/>
  <c r="D14" i="38"/>
  <c r="D34" i="38"/>
  <c r="D15" i="38"/>
  <c r="D21" i="38"/>
  <c r="D29" i="38"/>
  <c r="D28" i="38"/>
  <c r="D26" i="38"/>
  <c r="D18" i="38"/>
  <c r="D16" i="38"/>
  <c r="D35" i="38"/>
  <c r="D38" i="16"/>
  <c r="D40" i="16" s="1"/>
  <c r="C42" i="16" s="1"/>
  <c r="D38" i="15" s="1"/>
  <c r="D40" i="15" s="1"/>
  <c r="C42" i="15" s="1"/>
  <c r="D40" i="14" l="1"/>
  <c r="C42" i="14" s="1"/>
  <c r="D38" i="13" s="1"/>
  <c r="D40" i="13" s="1"/>
  <c r="C42" i="13" s="1"/>
  <c r="D38" i="12" s="1"/>
  <c r="D40" i="12" s="1"/>
  <c r="C42" i="12" s="1"/>
  <c r="D38" i="11" s="1"/>
  <c r="D40" i="11" s="1"/>
  <c r="C42" i="11" s="1"/>
  <c r="D38" i="10" s="1"/>
  <c r="D40" i="10" s="1"/>
  <c r="C42" i="10" s="1"/>
  <c r="D38" i="20" s="1"/>
  <c r="D40" i="20" s="1"/>
  <c r="C42" i="20" s="1"/>
  <c r="D38" i="19" s="1"/>
  <c r="D40" i="19" s="1"/>
  <c r="C42" i="19" s="1"/>
  <c r="D38" i="23" s="1"/>
  <c r="D40" i="23" s="1"/>
  <c r="C42" i="23" s="1"/>
  <c r="D38" i="22" s="1"/>
  <c r="D40" i="22" s="1"/>
  <c r="C42" i="22" s="1"/>
  <c r="D38" i="14"/>
  <c r="D38" i="21" l="1"/>
  <c r="D40" i="21" s="1"/>
  <c r="C42" i="21" s="1"/>
  <c r="D38" i="24" s="1"/>
  <c r="D40" i="24" s="1"/>
  <c r="C42" i="24" s="1"/>
  <c r="D38" i="25" s="1"/>
  <c r="D40" i="25" s="1"/>
  <c r="C42" i="25" s="1"/>
  <c r="D38" i="26" s="1"/>
  <c r="D40" i="26" s="1"/>
  <c r="C42" i="26" s="1"/>
  <c r="D38" i="29" s="1"/>
  <c r="D40" i="29" s="1"/>
  <c r="C42" i="29" s="1"/>
  <c r="D38" i="30" s="1"/>
  <c r="D40" i="30" s="1"/>
  <c r="C42" i="30" s="1"/>
  <c r="D38" i="31" s="1"/>
  <c r="D40" i="31" s="1"/>
  <c r="C42" i="31" s="1"/>
  <c r="D38" i="32" s="1"/>
  <c r="D40" i="32" s="1"/>
  <c r="C42" i="32" s="1"/>
  <c r="D38" i="33" s="1"/>
  <c r="D40" i="33" s="1"/>
  <c r="C42" i="33" s="1"/>
  <c r="E42" i="22"/>
  <c r="D38" i="34" l="1"/>
  <c r="D40" i="34" s="1"/>
  <c r="C42" i="34" s="1"/>
  <c r="D38" i="35" s="1"/>
  <c r="D40" i="35" s="1"/>
  <c r="C42" i="35" s="1"/>
  <c r="D38" i="36" s="1"/>
  <c r="D40" i="36" s="1"/>
  <c r="C42" i="36" s="1"/>
  <c r="D38" i="37" s="1"/>
  <c r="D40" i="37" s="1"/>
  <c r="C42" i="37" s="1"/>
  <c r="D42" i="33"/>
  <c r="D38" i="27" l="1"/>
  <c r="D40" i="27" s="1"/>
  <c r="C42" i="27" s="1"/>
</calcChain>
</file>

<file path=xl/sharedStrings.xml><?xml version="1.0" encoding="utf-8"?>
<sst xmlns="http://schemas.openxmlformats.org/spreadsheetml/2006/main" count="1771" uniqueCount="119">
  <si>
    <t>التاريخ</t>
  </si>
  <si>
    <t>الايراد</t>
  </si>
  <si>
    <t>المصاريف</t>
  </si>
  <si>
    <t>مختلف</t>
  </si>
  <si>
    <t>اراكيل</t>
  </si>
  <si>
    <t>معسل</t>
  </si>
  <si>
    <t>فحم</t>
  </si>
  <si>
    <t>نرابيج و لوازم</t>
  </si>
  <si>
    <t>عصائر</t>
  </si>
  <si>
    <t>فواكهة</t>
  </si>
  <si>
    <t>عسل</t>
  </si>
  <si>
    <t>نسلة</t>
  </si>
  <si>
    <t>شوكولا</t>
  </si>
  <si>
    <t>حليب</t>
  </si>
  <si>
    <t>نيسكافيه و كابتشينو</t>
  </si>
  <si>
    <t>قهوة مكنة</t>
  </si>
  <si>
    <t>لوازم أخرى</t>
  </si>
  <si>
    <t>لوازم</t>
  </si>
  <si>
    <t>كبيايات</t>
  </si>
  <si>
    <t>محارم</t>
  </si>
  <si>
    <t>مواد تنظيف</t>
  </si>
  <si>
    <t>اجمالي المصاريف</t>
  </si>
  <si>
    <t>الرصيد السابق</t>
  </si>
  <si>
    <t>الرصيد الحالي</t>
  </si>
  <si>
    <t>مازوت</t>
  </si>
  <si>
    <t>صيانة</t>
  </si>
  <si>
    <t>اقتناء أصول</t>
  </si>
  <si>
    <t>كريب</t>
  </si>
  <si>
    <t>مشروبات</t>
  </si>
  <si>
    <t>مشروبات غازية</t>
  </si>
  <si>
    <t>الاجمالي</t>
  </si>
  <si>
    <t>ل ل</t>
  </si>
  <si>
    <t>$$</t>
  </si>
  <si>
    <t>العاب</t>
  </si>
  <si>
    <t>fun park</t>
  </si>
  <si>
    <t>نقل</t>
  </si>
  <si>
    <t>الرصيد $</t>
  </si>
  <si>
    <t xml:space="preserve">ل ل </t>
  </si>
  <si>
    <t>$</t>
  </si>
  <si>
    <t>تصفيه</t>
  </si>
  <si>
    <t>سلف موظفين</t>
  </si>
  <si>
    <t>رواتب</t>
  </si>
  <si>
    <t>بنزين</t>
  </si>
  <si>
    <t>ملاحظات</t>
  </si>
  <si>
    <t>عمار</t>
  </si>
  <si>
    <t>الاسم</t>
  </si>
  <si>
    <t>القيمة</t>
  </si>
  <si>
    <t>التاريح</t>
  </si>
  <si>
    <t>جدول متابعة عن شهر آذار 2025</t>
  </si>
  <si>
    <t>الايام</t>
  </si>
  <si>
    <t>مجموع الايام</t>
  </si>
  <si>
    <t>المجموع العام</t>
  </si>
  <si>
    <t>دراسة</t>
  </si>
  <si>
    <t>الصفحة الرئيسية</t>
  </si>
  <si>
    <t>المجاميع</t>
  </si>
  <si>
    <t>رصيد نقدية افتتاحي</t>
  </si>
  <si>
    <t>دراسة الايرادات</t>
  </si>
  <si>
    <t>دراسة الاعباء</t>
  </si>
  <si>
    <t>اكرم</t>
  </si>
  <si>
    <t>ملك</t>
  </si>
  <si>
    <t>فحم 16 كرتونة</t>
  </si>
  <si>
    <t>فواتير من بيروت</t>
  </si>
  <si>
    <t>شريط اضائة</t>
  </si>
  <si>
    <t>سياج  عدد 8</t>
  </si>
  <si>
    <t>ورد و فازات</t>
  </si>
  <si>
    <t>رياض</t>
  </si>
  <si>
    <t>اكرم غياب 4 ايام - وفاة والدته</t>
  </si>
  <si>
    <t>فحم 13 كرتونة</t>
  </si>
  <si>
    <t>شمسيات</t>
  </si>
  <si>
    <t>اكياس بوالين</t>
  </si>
  <si>
    <t>سياج</t>
  </si>
  <si>
    <t>ميكي موس</t>
  </si>
  <si>
    <t>زينة</t>
  </si>
  <si>
    <t>ساعة التابلو</t>
  </si>
  <si>
    <t>total</t>
  </si>
  <si>
    <t>ثمن لمبات طاقة شمسية</t>
  </si>
  <si>
    <t>لمبات</t>
  </si>
  <si>
    <t>Row Labels</t>
  </si>
  <si>
    <t>Grand Total</t>
  </si>
  <si>
    <t>Sum of القيمة</t>
  </si>
  <si>
    <t>مجد</t>
  </si>
  <si>
    <t>مصطفى</t>
  </si>
  <si>
    <t>ابو جعفر</t>
  </si>
  <si>
    <t>اراكيل و</t>
  </si>
  <si>
    <t>اغراض</t>
  </si>
  <si>
    <t>خشب</t>
  </si>
  <si>
    <t>ورد</t>
  </si>
  <si>
    <t>مكنة غزل البنات و بوشار</t>
  </si>
  <si>
    <t>خلاط</t>
  </si>
  <si>
    <t>كراسي</t>
  </si>
  <si>
    <t>اشتراك مياه</t>
  </si>
  <si>
    <t>اغراض من بيروت</t>
  </si>
  <si>
    <t>عدد</t>
  </si>
  <si>
    <t>دفعة</t>
  </si>
  <si>
    <t>قيمة</t>
  </si>
  <si>
    <t>كمية</t>
  </si>
  <si>
    <t>الصنف</t>
  </si>
  <si>
    <t>زين</t>
  </si>
  <si>
    <t>جعفر</t>
  </si>
  <si>
    <t>محمد</t>
  </si>
  <si>
    <t>ماكينة فريسكو</t>
  </si>
  <si>
    <t>كبايات و شلمونات</t>
  </si>
  <si>
    <t>بلاط</t>
  </si>
  <si>
    <t>انارة ورد</t>
  </si>
  <si>
    <t>حبل اضائة و سبوتات</t>
  </si>
  <si>
    <t>سلامة</t>
  </si>
  <si>
    <t>تأمين</t>
  </si>
  <si>
    <t>حسين</t>
  </si>
  <si>
    <t>ثمن عفش</t>
  </si>
  <si>
    <t>ثمن سقف + مواد للشلال</t>
  </si>
  <si>
    <t>غاز</t>
  </si>
  <si>
    <t>اجار تركيب السقف</t>
  </si>
  <si>
    <t>راتب أبو حسام</t>
  </si>
  <si>
    <t>انارة للسقف</t>
  </si>
  <si>
    <t xml:space="preserve">حديد بار + خشب للشومينة </t>
  </si>
  <si>
    <t>دهان للصالة</t>
  </si>
  <si>
    <t>صيانة بسكلاتات</t>
  </si>
  <si>
    <t>قبض من world vision 990$</t>
  </si>
  <si>
    <t>ثمن محولات 120$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</si>
</sst>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8" tint="-0.249977111117893"/>
      <name val="Calibri"/>
      <family val="2"/>
      <scheme val="minor"/>
    </font>
    <font>
      <sz val="14"/>
      <color theme="6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48"/>
      <color rgb="FFFF99FF"/>
      <name val="Adobe Garamond Pro Bold"/>
      <family val="1"/>
    </font>
    <font>
      <sz val="22"/>
      <color theme="1"/>
      <name val="Calibri"/>
      <family val="2"/>
      <scheme val="minor"/>
    </font>
    <font>
      <sz val="18"/>
      <color rgb="FF33CC33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sz val="18"/>
      <color theme="6" tint="-0.499984740745262"/>
      <name val="Calibri"/>
      <family val="2"/>
      <scheme val="minor"/>
    </font>
    <font>
      <b/>
      <sz val="18"/>
      <color theme="6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6"/>
      <color theme="9" tint="-0.249977111117893"/>
      <name val="Calibri"/>
      <family val="2"/>
      <scheme val="minor"/>
    </font>
    <font>
      <sz val="18"/>
      <color theme="9" tint="-0.249977111117893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theme="3" tint="-0.249977111117893"/>
      <name val="Adobe نسخ Medium"/>
      <family val="3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16"/>
      <color theme="9" tint="-0.249977111117893"/>
      <name val="Calibri"/>
      <family val="2"/>
      <scheme val="minor"/>
    </font>
    <font>
      <sz val="26"/>
      <color theme="3" tint="-0.249977111117893"/>
      <name val="Adobe نسخ Medium"/>
      <family val="3"/>
    </font>
    <font>
      <sz val="48"/>
      <color rgb="FFFF66CC"/>
      <name val="Adobe Garamond Pro Bold"/>
      <family val="1"/>
    </font>
    <font>
      <b/>
      <sz val="18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24"/>
      <color theme="10"/>
      <name val="Calibri"/>
      <family val="2"/>
      <scheme val="minor"/>
    </font>
    <font>
      <sz val="12"/>
      <name val="Calibri"/>
      <family val="2"/>
      <scheme val="minor"/>
    </font>
    <font>
      <sz val="14"/>
      <color theme="4" tint="0.79998168889431442"/>
      <name val="Calibri"/>
      <family val="2"/>
      <scheme val="minor"/>
    </font>
    <font>
      <sz val="2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Dashed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vertical="center" shrinkToFit="1"/>
    </xf>
    <xf numFmtId="0" fontId="5" fillId="0" borderId="0" xfId="0" applyFont="1" applyAlignment="1">
      <alignment vertical="center" shrinkToFit="1"/>
    </xf>
    <xf numFmtId="0" fontId="5" fillId="4" borderId="0" xfId="0" applyFont="1" applyFill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3" borderId="0" xfId="0" applyFont="1" applyFill="1" applyAlignment="1">
      <alignment vertical="center" shrinkToFit="1"/>
    </xf>
    <xf numFmtId="0" fontId="2" fillId="2" borderId="0" xfId="0" applyFont="1" applyFill="1" applyAlignment="1">
      <alignment vertical="center" shrinkToFit="1"/>
    </xf>
    <xf numFmtId="0" fontId="1" fillId="0" borderId="0" xfId="0" applyFont="1" applyAlignment="1">
      <alignment vertical="center" shrinkToFit="1"/>
    </xf>
    <xf numFmtId="3" fontId="6" fillId="0" borderId="0" xfId="0" applyNumberFormat="1" applyFont="1" applyAlignment="1">
      <alignment horizontal="center" vertical="center" shrinkToFit="1"/>
    </xf>
    <xf numFmtId="3" fontId="10" fillId="0" borderId="0" xfId="0" applyNumberFormat="1" applyFont="1" applyAlignment="1">
      <alignment horizontal="center" vertical="center" shrinkToFit="1"/>
    </xf>
    <xf numFmtId="3" fontId="7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2" fillId="0" borderId="0" xfId="0" applyFont="1" applyAlignment="1">
      <alignment vertical="center" shrinkToFit="1"/>
    </xf>
    <xf numFmtId="3" fontId="6" fillId="0" borderId="2" xfId="0" applyNumberFormat="1" applyFont="1" applyBorder="1" applyAlignment="1">
      <alignment horizontal="center" vertical="center" shrinkToFit="1"/>
    </xf>
    <xf numFmtId="3" fontId="6" fillId="0" borderId="3" xfId="0" applyNumberFormat="1" applyFont="1" applyBorder="1" applyAlignment="1">
      <alignment horizontal="center" vertical="center" shrinkToFit="1"/>
    </xf>
    <xf numFmtId="3" fontId="6" fillId="0" borderId="4" xfId="0" applyNumberFormat="1" applyFont="1" applyBorder="1" applyAlignment="1">
      <alignment horizontal="center" vertical="center" shrinkToFit="1"/>
    </xf>
    <xf numFmtId="3" fontId="6" fillId="0" borderId="5" xfId="0" applyNumberFormat="1" applyFont="1" applyBorder="1" applyAlignment="1">
      <alignment horizontal="center" vertical="center" shrinkToFit="1"/>
    </xf>
    <xf numFmtId="3" fontId="6" fillId="0" borderId="6" xfId="0" applyNumberFormat="1" applyFont="1" applyBorder="1" applyAlignment="1">
      <alignment horizontal="center" vertical="center" shrinkToFit="1"/>
    </xf>
    <xf numFmtId="3" fontId="6" fillId="0" borderId="7" xfId="0" applyNumberFormat="1" applyFont="1" applyBorder="1" applyAlignment="1">
      <alignment horizontal="center" vertical="center" shrinkToFit="1"/>
    </xf>
    <xf numFmtId="3" fontId="6" fillId="4" borderId="4" xfId="0" applyNumberFormat="1" applyFont="1" applyFill="1" applyBorder="1" applyAlignment="1">
      <alignment horizontal="center" vertical="center" shrinkToFit="1"/>
    </xf>
    <xf numFmtId="3" fontId="6" fillId="4" borderId="5" xfId="0" applyNumberFormat="1" applyFont="1" applyFill="1" applyBorder="1" applyAlignment="1">
      <alignment horizontal="center" vertical="center" shrinkToFit="1"/>
    </xf>
    <xf numFmtId="3" fontId="6" fillId="3" borderId="4" xfId="0" applyNumberFormat="1" applyFont="1" applyFill="1" applyBorder="1" applyAlignment="1">
      <alignment horizontal="center" vertical="center" shrinkToFit="1"/>
    </xf>
    <xf numFmtId="3" fontId="6" fillId="3" borderId="5" xfId="0" applyNumberFormat="1" applyFont="1" applyFill="1" applyBorder="1" applyAlignment="1">
      <alignment horizontal="center" vertical="center" shrinkToFit="1"/>
    </xf>
    <xf numFmtId="3" fontId="6" fillId="2" borderId="4" xfId="0" applyNumberFormat="1" applyFont="1" applyFill="1" applyBorder="1" applyAlignment="1">
      <alignment horizontal="center" vertical="center" shrinkToFit="1"/>
    </xf>
    <xf numFmtId="3" fontId="6" fillId="2" borderId="5" xfId="0" applyNumberFormat="1" applyFont="1" applyFill="1" applyBorder="1" applyAlignment="1">
      <alignment horizontal="center" vertical="center" shrinkToFit="1"/>
    </xf>
    <xf numFmtId="3" fontId="6" fillId="2" borderId="6" xfId="0" applyNumberFormat="1" applyFont="1" applyFill="1" applyBorder="1" applyAlignment="1">
      <alignment horizontal="center" vertical="center" shrinkToFit="1"/>
    </xf>
    <xf numFmtId="3" fontId="6" fillId="2" borderId="7" xfId="0" applyNumberFormat="1" applyFont="1" applyFill="1" applyBorder="1" applyAlignment="1">
      <alignment horizontal="center" vertical="center" shrinkToFit="1"/>
    </xf>
    <xf numFmtId="3" fontId="6" fillId="4" borderId="2" xfId="0" applyNumberFormat="1" applyFont="1" applyFill="1" applyBorder="1" applyAlignment="1">
      <alignment horizontal="center" vertical="center" shrinkToFit="1"/>
    </xf>
    <xf numFmtId="3" fontId="6" fillId="4" borderId="3" xfId="0" applyNumberFormat="1" applyFont="1" applyFill="1" applyBorder="1" applyAlignment="1">
      <alignment horizontal="center" vertical="center" shrinkToFit="1"/>
    </xf>
    <xf numFmtId="3" fontId="7" fillId="0" borderId="8" xfId="0" applyNumberFormat="1" applyFont="1" applyBorder="1" applyAlignment="1">
      <alignment horizontal="center" vertical="center" shrinkToFit="1"/>
    </xf>
    <xf numFmtId="3" fontId="7" fillId="0" borderId="9" xfId="0" applyNumberFormat="1" applyFont="1" applyBorder="1" applyAlignment="1">
      <alignment horizontal="center" vertical="center" shrinkToFit="1"/>
    </xf>
    <xf numFmtId="3" fontId="14" fillId="0" borderId="0" xfId="0" applyNumberFormat="1" applyFont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4" fillId="0" borderId="10" xfId="0" applyFont="1" applyBorder="1" applyAlignment="1">
      <alignment vertical="center" shrinkToFit="1"/>
    </xf>
    <xf numFmtId="0" fontId="3" fillId="0" borderId="10" xfId="0" applyFont="1" applyBorder="1" applyAlignment="1">
      <alignment vertical="center" shrinkToFit="1"/>
    </xf>
    <xf numFmtId="14" fontId="7" fillId="0" borderId="1" xfId="0" applyNumberFormat="1" applyFont="1" applyBorder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3" fontId="15" fillId="0" borderId="0" xfId="0" applyNumberFormat="1" applyFont="1" applyAlignment="1">
      <alignment horizontal="center" vertical="center" shrinkToFit="1"/>
    </xf>
    <xf numFmtId="0" fontId="16" fillId="0" borderId="0" xfId="0" applyFont="1"/>
    <xf numFmtId="3" fontId="17" fillId="0" borderId="0" xfId="0" applyNumberFormat="1" applyFont="1" applyAlignment="1">
      <alignment horizontal="center" vertical="center" shrinkToFit="1"/>
    </xf>
    <xf numFmtId="3" fontId="6" fillId="2" borderId="11" xfId="0" applyNumberFormat="1" applyFont="1" applyFill="1" applyBorder="1" applyAlignment="1">
      <alignment horizontal="center" vertical="center" shrinkToFit="1"/>
    </xf>
    <xf numFmtId="3" fontId="0" fillId="0" borderId="0" xfId="0" applyNumberFormat="1"/>
    <xf numFmtId="0" fontId="18" fillId="2" borderId="0" xfId="0" applyFont="1" applyFill="1" applyAlignment="1">
      <alignment vertical="center" shrinkToFit="1"/>
    </xf>
    <xf numFmtId="3" fontId="19" fillId="0" borderId="0" xfId="0" applyNumberFormat="1" applyFont="1" applyAlignment="1">
      <alignment horizontal="center" vertical="center" shrinkToFit="1"/>
    </xf>
    <xf numFmtId="3" fontId="20" fillId="0" borderId="0" xfId="0" applyNumberFormat="1" applyFont="1" applyAlignment="1">
      <alignment horizontal="center" vertical="center" shrinkToFit="1"/>
    </xf>
    <xf numFmtId="0" fontId="19" fillId="0" borderId="0" xfId="0" applyFont="1"/>
    <xf numFmtId="0" fontId="21" fillId="0" borderId="8" xfId="0" applyFont="1" applyBorder="1" applyAlignment="1">
      <alignment vertical="center" shrinkToFit="1"/>
    </xf>
    <xf numFmtId="14" fontId="0" fillId="0" borderId="0" xfId="0" applyNumberFormat="1"/>
    <xf numFmtId="0" fontId="8" fillId="0" borderId="0" xfId="0" applyFont="1"/>
    <xf numFmtId="0" fontId="25" fillId="0" borderId="0" xfId="0" applyFont="1"/>
    <xf numFmtId="0" fontId="29" fillId="2" borderId="12" xfId="1" applyFont="1" applyFill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6" fillId="0" borderId="0" xfId="0" applyFont="1"/>
    <xf numFmtId="0" fontId="13" fillId="0" borderId="0" xfId="0" applyFont="1" applyAlignment="1">
      <alignment vertical="center" shrinkToFit="1"/>
    </xf>
    <xf numFmtId="0" fontId="33" fillId="0" borderId="0" xfId="0" applyFont="1"/>
    <xf numFmtId="0" fontId="34" fillId="0" borderId="0" xfId="1" applyFont="1"/>
    <xf numFmtId="3" fontId="28" fillId="0" borderId="0" xfId="1" applyNumberFormat="1" applyFont="1" applyAlignment="1">
      <alignment horizontal="center" vertical="center" wrapText="1"/>
    </xf>
    <xf numFmtId="3" fontId="8" fillId="0" borderId="0" xfId="0" applyNumberFormat="1" applyFont="1"/>
    <xf numFmtId="9" fontId="35" fillId="0" borderId="0" xfId="0" applyNumberFormat="1" applyFont="1" applyAlignment="1">
      <alignment horizontal="center"/>
    </xf>
    <xf numFmtId="9" fontId="36" fillId="5" borderId="13" xfId="0" applyNumberFormat="1" applyFont="1" applyFill="1" applyBorder="1" applyAlignment="1">
      <alignment horizontal="center"/>
    </xf>
    <xf numFmtId="9" fontId="36" fillId="5" borderId="14" xfId="0" applyNumberFormat="1" applyFont="1" applyFill="1" applyBorder="1" applyAlignment="1">
      <alignment horizontal="center"/>
    </xf>
    <xf numFmtId="9" fontId="36" fillId="5" borderId="15" xfId="0" applyNumberFormat="1" applyFont="1" applyFill="1" applyBorder="1" applyAlignment="1">
      <alignment horizontal="center"/>
    </xf>
    <xf numFmtId="0" fontId="37" fillId="0" borderId="0" xfId="0" applyFont="1"/>
    <xf numFmtId="0" fontId="38" fillId="0" borderId="0" xfId="0" applyFont="1" applyAlignment="1">
      <alignment vertical="center" shrinkToFit="1"/>
    </xf>
    <xf numFmtId="0" fontId="16" fillId="0" borderId="0" xfId="0" applyFont="1" applyAlignment="1">
      <alignment shrinkToFit="1"/>
    </xf>
    <xf numFmtId="0" fontId="37" fillId="0" borderId="0" xfId="0" applyFont="1" applyAlignment="1">
      <alignment shrinkToFit="1"/>
    </xf>
    <xf numFmtId="3" fontId="16" fillId="0" borderId="0" xfId="0" applyNumberFormat="1" applyFont="1" applyAlignment="1">
      <alignment shrinkToFit="1"/>
    </xf>
    <xf numFmtId="3" fontId="7" fillId="0" borderId="1" xfId="0" applyNumberFormat="1" applyFont="1" applyBorder="1" applyAlignment="1">
      <alignment horizontal="center" vertical="center" shrinkToFit="1"/>
    </xf>
    <xf numFmtId="3" fontId="6" fillId="4" borderId="16" xfId="0" applyNumberFormat="1" applyFont="1" applyFill="1" applyBorder="1" applyAlignment="1">
      <alignment horizontal="center" vertical="center" shrinkToFit="1"/>
    </xf>
    <xf numFmtId="3" fontId="6" fillId="4" borderId="17" xfId="0" applyNumberFormat="1" applyFont="1" applyFill="1" applyBorder="1" applyAlignment="1">
      <alignment horizontal="center" vertical="center" shrinkToFit="1"/>
    </xf>
    <xf numFmtId="3" fontId="6" fillId="4" borderId="18" xfId="0" applyNumberFormat="1" applyFont="1" applyFill="1" applyBorder="1" applyAlignment="1">
      <alignment horizontal="center" vertical="center" shrinkToFit="1"/>
    </xf>
    <xf numFmtId="3" fontId="6" fillId="4" borderId="19" xfId="0" applyNumberFormat="1" applyFont="1" applyFill="1" applyBorder="1" applyAlignment="1">
      <alignment horizontal="center" vertical="center" shrinkToFit="1"/>
    </xf>
    <xf numFmtId="3" fontId="6" fillId="4" borderId="20" xfId="0" applyNumberFormat="1" applyFont="1" applyFill="1" applyBorder="1" applyAlignment="1">
      <alignment horizontal="center" vertical="center" shrinkToFit="1"/>
    </xf>
    <xf numFmtId="3" fontId="6" fillId="4" borderId="21" xfId="0" applyNumberFormat="1" applyFont="1" applyFill="1" applyBorder="1" applyAlignment="1">
      <alignment horizontal="center" vertical="center" shrinkToFit="1"/>
    </xf>
    <xf numFmtId="3" fontId="6" fillId="3" borderId="19" xfId="0" applyNumberFormat="1" applyFont="1" applyFill="1" applyBorder="1" applyAlignment="1">
      <alignment horizontal="center" vertical="center" shrinkToFit="1"/>
    </xf>
    <xf numFmtId="3" fontId="6" fillId="3" borderId="20" xfId="0" applyNumberFormat="1" applyFont="1" applyFill="1" applyBorder="1" applyAlignment="1">
      <alignment horizontal="center" vertical="center" shrinkToFit="1"/>
    </xf>
    <xf numFmtId="3" fontId="6" fillId="3" borderId="21" xfId="0" applyNumberFormat="1" applyFont="1" applyFill="1" applyBorder="1" applyAlignment="1">
      <alignment horizontal="center" vertical="center" shrinkToFit="1"/>
    </xf>
    <xf numFmtId="3" fontId="6" fillId="2" borderId="19" xfId="0" applyNumberFormat="1" applyFont="1" applyFill="1" applyBorder="1" applyAlignment="1">
      <alignment horizontal="center" vertical="center" shrinkToFit="1"/>
    </xf>
    <xf numFmtId="3" fontId="6" fillId="2" borderId="20" xfId="0" applyNumberFormat="1" applyFont="1" applyFill="1" applyBorder="1" applyAlignment="1">
      <alignment horizontal="center" vertical="center" shrinkToFit="1"/>
    </xf>
    <xf numFmtId="3" fontId="6" fillId="2" borderId="21" xfId="0" applyNumberFormat="1" applyFont="1" applyFill="1" applyBorder="1" applyAlignment="1">
      <alignment horizontal="center" vertical="center" shrinkToFit="1"/>
    </xf>
    <xf numFmtId="3" fontId="6" fillId="2" borderId="22" xfId="0" applyNumberFormat="1" applyFont="1" applyFill="1" applyBorder="1" applyAlignment="1">
      <alignment horizontal="center" vertical="center" shrinkToFit="1"/>
    </xf>
    <xf numFmtId="3" fontId="6" fillId="2" borderId="23" xfId="0" applyNumberFormat="1" applyFont="1" applyFill="1" applyBorder="1" applyAlignment="1">
      <alignment horizontal="center" vertical="center" shrinkToFit="1"/>
    </xf>
    <xf numFmtId="3" fontId="6" fillId="2" borderId="24" xfId="0" applyNumberFormat="1" applyFont="1" applyFill="1" applyBorder="1" applyAlignment="1">
      <alignment horizontal="center" vertical="center" shrinkToFit="1"/>
    </xf>
    <xf numFmtId="3" fontId="6" fillId="6" borderId="16" xfId="0" applyNumberFormat="1" applyFont="1" applyFill="1" applyBorder="1" applyAlignment="1">
      <alignment horizontal="center" vertical="center" shrinkToFit="1"/>
    </xf>
    <xf numFmtId="3" fontId="6" fillId="6" borderId="17" xfId="0" applyNumberFormat="1" applyFont="1" applyFill="1" applyBorder="1" applyAlignment="1">
      <alignment horizontal="center" vertical="center" shrinkToFit="1"/>
    </xf>
    <xf numFmtId="3" fontId="6" fillId="6" borderId="18" xfId="0" applyNumberFormat="1" applyFont="1" applyFill="1" applyBorder="1" applyAlignment="1">
      <alignment horizontal="center" vertical="center" shrinkToFit="1"/>
    </xf>
    <xf numFmtId="3" fontId="6" fillId="6" borderId="19" xfId="0" applyNumberFormat="1" applyFont="1" applyFill="1" applyBorder="1" applyAlignment="1">
      <alignment horizontal="center" vertical="center" shrinkToFit="1"/>
    </xf>
    <xf numFmtId="3" fontId="6" fillId="6" borderId="20" xfId="0" applyNumberFormat="1" applyFont="1" applyFill="1" applyBorder="1" applyAlignment="1">
      <alignment horizontal="center" vertical="center" shrinkToFit="1"/>
    </xf>
    <xf numFmtId="3" fontId="6" fillId="6" borderId="21" xfId="0" applyNumberFormat="1" applyFont="1" applyFill="1" applyBorder="1" applyAlignment="1">
      <alignment horizontal="center" vertical="center" shrinkToFit="1"/>
    </xf>
    <xf numFmtId="3" fontId="6" fillId="6" borderId="22" xfId="0" applyNumberFormat="1" applyFont="1" applyFill="1" applyBorder="1" applyAlignment="1">
      <alignment horizontal="center" vertical="center" shrinkToFit="1"/>
    </xf>
    <xf numFmtId="3" fontId="6" fillId="6" borderId="23" xfId="0" applyNumberFormat="1" applyFont="1" applyFill="1" applyBorder="1" applyAlignment="1">
      <alignment horizontal="center" vertical="center" shrinkToFit="1"/>
    </xf>
    <xf numFmtId="3" fontId="6" fillId="6" borderId="24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3" fontId="8" fillId="7" borderId="0" xfId="0" applyNumberFormat="1" applyFont="1" applyFill="1"/>
    <xf numFmtId="0" fontId="39" fillId="0" borderId="0" xfId="0" applyFont="1" applyAlignment="1">
      <alignment horizontal="center"/>
    </xf>
    <xf numFmtId="3" fontId="32" fillId="8" borderId="8" xfId="0" applyNumberFormat="1" applyFont="1" applyFill="1" applyBorder="1" applyAlignment="1">
      <alignment horizontal="center" vertical="center" shrinkToFit="1"/>
    </xf>
    <xf numFmtId="0" fontId="0" fillId="8" borderId="0" xfId="0" applyFill="1"/>
    <xf numFmtId="0" fontId="0" fillId="0" borderId="0" xfId="0" pivotButton="1"/>
    <xf numFmtId="3" fontId="6" fillId="0" borderId="25" xfId="0" applyNumberFormat="1" applyFont="1" applyBorder="1" applyAlignment="1">
      <alignment horizontal="center" vertical="center" shrinkToFit="1"/>
    </xf>
    <xf numFmtId="3" fontId="6" fillId="0" borderId="26" xfId="0" applyNumberFormat="1" applyFont="1" applyBorder="1" applyAlignment="1">
      <alignment horizontal="center" vertical="center" shrinkToFit="1"/>
    </xf>
    <xf numFmtId="3" fontId="6" fillId="0" borderId="27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39" fillId="0" borderId="28" xfId="0" applyFont="1" applyBorder="1" applyAlignment="1">
      <alignment horizontal="center" vertical="center" shrinkToFit="1"/>
    </xf>
    <xf numFmtId="3" fontId="39" fillId="8" borderId="29" xfId="0" applyNumberFormat="1" applyFont="1" applyFill="1" applyBorder="1" applyAlignment="1">
      <alignment horizontal="center" vertical="center" shrinkToFit="1"/>
    </xf>
    <xf numFmtId="0" fontId="39" fillId="0" borderId="29" xfId="0" applyFont="1" applyBorder="1" applyAlignment="1">
      <alignment horizontal="center" vertical="center" shrinkToFit="1"/>
    </xf>
    <xf numFmtId="0" fontId="39" fillId="0" borderId="30" xfId="0" applyFont="1" applyBorder="1" applyAlignment="1">
      <alignment horizontal="center" vertical="center" shrinkToFit="1"/>
    </xf>
    <xf numFmtId="0" fontId="40" fillId="0" borderId="28" xfId="0" applyFont="1" applyBorder="1" applyAlignment="1">
      <alignment horizontal="center" vertical="center" shrinkToFit="1"/>
    </xf>
    <xf numFmtId="3" fontId="40" fillId="8" borderId="29" xfId="0" applyNumberFormat="1" applyFont="1" applyFill="1" applyBorder="1" applyAlignment="1">
      <alignment horizontal="center" vertical="center" shrinkToFit="1"/>
    </xf>
    <xf numFmtId="0" fontId="40" fillId="0" borderId="29" xfId="0" applyFont="1" applyBorder="1" applyAlignment="1">
      <alignment horizontal="center" vertical="center" shrinkToFit="1"/>
    </xf>
    <xf numFmtId="0" fontId="40" fillId="0" borderId="30" xfId="0" applyFont="1" applyBorder="1" applyAlignment="1">
      <alignment horizontal="center" vertical="center" shrinkToFit="1"/>
    </xf>
    <xf numFmtId="3" fontId="8" fillId="0" borderId="1" xfId="0" applyNumberFormat="1" applyFont="1" applyBorder="1" applyAlignment="1">
      <alignment horizontal="center"/>
    </xf>
    <xf numFmtId="3" fontId="8" fillId="7" borderId="1" xfId="0" applyNumberFormat="1" applyFont="1" applyFill="1" applyBorder="1"/>
    <xf numFmtId="15" fontId="0" fillId="0" borderId="0" xfId="0" applyNumberFormat="1"/>
    <xf numFmtId="0" fontId="0" fillId="0" borderId="0" xfId="0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3" fillId="0" borderId="8" xfId="0" applyFont="1" applyBorder="1" applyAlignment="1">
      <alignment horizontal="center" vertical="center" shrinkToFit="1"/>
    </xf>
    <xf numFmtId="0" fontId="24" fillId="0" borderId="8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30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vertical="center"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99FF"/>
      <color rgb="FF99FF66"/>
      <color rgb="FFFF66CC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دراسة!$A$11:$A$33</c:f>
              <c:strCache>
                <c:ptCount val="23"/>
                <c:pt idx="0">
                  <c:v>معسل</c:v>
                </c:pt>
                <c:pt idx="1">
                  <c:v>فحم</c:v>
                </c:pt>
                <c:pt idx="2">
                  <c:v>نرابيج و لوازم</c:v>
                </c:pt>
                <c:pt idx="3">
                  <c:v>فواكهة</c:v>
                </c:pt>
                <c:pt idx="4">
                  <c:v>عسل</c:v>
                </c:pt>
                <c:pt idx="5">
                  <c:v>نسلة</c:v>
                </c:pt>
                <c:pt idx="6">
                  <c:v>شوكولا</c:v>
                </c:pt>
                <c:pt idx="7">
                  <c:v>حليب</c:v>
                </c:pt>
                <c:pt idx="8">
                  <c:v>مشروبات غازية</c:v>
                </c:pt>
                <c:pt idx="9">
                  <c:v>نيسكافيه و كابتشينو</c:v>
                </c:pt>
                <c:pt idx="10">
                  <c:v>قهوة مكنة</c:v>
                </c:pt>
                <c:pt idx="11">
                  <c:v>لوازم أخرى</c:v>
                </c:pt>
                <c:pt idx="12">
                  <c:v>كبيايات</c:v>
                </c:pt>
                <c:pt idx="13">
                  <c:v>محارم</c:v>
                </c:pt>
                <c:pt idx="14">
                  <c:v>مواد تنظيف</c:v>
                </c:pt>
                <c:pt idx="15">
                  <c:v>مختلف</c:v>
                </c:pt>
                <c:pt idx="16">
                  <c:v>مازوت</c:v>
                </c:pt>
                <c:pt idx="17">
                  <c:v>صيانة</c:v>
                </c:pt>
                <c:pt idx="18">
                  <c:v>اقتناء أصول</c:v>
                </c:pt>
                <c:pt idx="19">
                  <c:v>سلف موظفين</c:v>
                </c:pt>
                <c:pt idx="20">
                  <c:v>بنزين</c:v>
                </c:pt>
                <c:pt idx="21">
                  <c:v>نقل</c:v>
                </c:pt>
                <c:pt idx="22">
                  <c:v>رواتب</c:v>
                </c:pt>
              </c:strCache>
            </c:strRef>
          </c:cat>
          <c:val>
            <c:numRef>
              <c:f>دراسة!$B$11:$B$33</c:f>
              <c:numCache>
                <c:formatCode>#,##0</c:formatCode>
                <c:ptCount val="23"/>
                <c:pt idx="0">
                  <c:v>200.88888888888889</c:v>
                </c:pt>
                <c:pt idx="1">
                  <c:v>595</c:v>
                </c:pt>
                <c:pt idx="2">
                  <c:v>58.222222222222221</c:v>
                </c:pt>
                <c:pt idx="3">
                  <c:v>238.11111111111111</c:v>
                </c:pt>
                <c:pt idx="4">
                  <c:v>257.44444444444446</c:v>
                </c:pt>
                <c:pt idx="5">
                  <c:v>0</c:v>
                </c:pt>
                <c:pt idx="6">
                  <c:v>325.77777777777783</c:v>
                </c:pt>
                <c:pt idx="7">
                  <c:v>0</c:v>
                </c:pt>
                <c:pt idx="8">
                  <c:v>197</c:v>
                </c:pt>
                <c:pt idx="9">
                  <c:v>20</c:v>
                </c:pt>
                <c:pt idx="10">
                  <c:v>69</c:v>
                </c:pt>
                <c:pt idx="11">
                  <c:v>98.333322222222222</c:v>
                </c:pt>
                <c:pt idx="12">
                  <c:v>0</c:v>
                </c:pt>
                <c:pt idx="13">
                  <c:v>66</c:v>
                </c:pt>
                <c:pt idx="14">
                  <c:v>97.333333333333343</c:v>
                </c:pt>
                <c:pt idx="15">
                  <c:v>191.2222222222222</c:v>
                </c:pt>
                <c:pt idx="16">
                  <c:v>0</c:v>
                </c:pt>
                <c:pt idx="17">
                  <c:v>635.88888888888891</c:v>
                </c:pt>
                <c:pt idx="18">
                  <c:v>9656</c:v>
                </c:pt>
                <c:pt idx="19">
                  <c:v>411.66666666666674</c:v>
                </c:pt>
                <c:pt idx="20">
                  <c:v>0</c:v>
                </c:pt>
                <c:pt idx="21">
                  <c:v>66.666666666666657</c:v>
                </c:pt>
                <c:pt idx="22">
                  <c:v>3265.5555555555557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16-4181-899A-CC2BD3B1C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31936"/>
        <c:axId val="56253184"/>
      </c:lineChart>
      <c:catAx>
        <c:axId val="128231936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56253184"/>
        <c:crosses val="autoZero"/>
        <c:auto val="1"/>
        <c:lblAlgn val="ctr"/>
        <c:lblOffset val="100"/>
        <c:noMultiLvlLbl val="0"/>
      </c:catAx>
      <c:valAx>
        <c:axId val="56253184"/>
        <c:scaling>
          <c:orientation val="minMax"/>
        </c:scaling>
        <c:delete val="0"/>
        <c:axPos val="r"/>
        <c:majorGridlines/>
        <c:numFmt formatCode="#,##0" sourceLinked="1"/>
        <c:majorTickMark val="out"/>
        <c:minorTickMark val="none"/>
        <c:tickLblPos val="nextTo"/>
        <c:crossAx val="128231936"/>
        <c:crosses val="autoZero"/>
        <c:crossBetween val="between"/>
      </c:valAx>
    </c:plotArea>
    <c:legend>
      <c:legendPos val="l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sz="1800" b="0" i="0" u="none" strike="noStrike" baseline="0">
                <a:effectLst/>
              </a:rPr>
              <a:t>دراسة الايرادات</a:t>
            </a:r>
            <a:r>
              <a:rPr lang="ar-EG" sz="1800" b="1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دراسة!$B$2</c:f>
              <c:strCache>
                <c:ptCount val="1"/>
                <c:pt idx="0">
                  <c:v>قيمة</c:v>
                </c:pt>
              </c:strCache>
            </c:strRef>
          </c:tx>
          <c:spPr>
            <a:solidFill>
              <a:schemeClr val="accent5">
                <a:shade val="76000"/>
                <a:alpha val="85000"/>
              </a:schemeClr>
            </a:solidFill>
            <a:ln w="9525" cap="flat" cmpd="sng" algn="ctr">
              <a:solidFill>
                <a:schemeClr val="accent5">
                  <a:shade val="76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76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دراسة!$A$3:$A$7</c:f>
              <c:strCache>
                <c:ptCount val="5"/>
                <c:pt idx="0">
                  <c:v>اراكيل</c:v>
                </c:pt>
                <c:pt idx="1">
                  <c:v>مشروبات</c:v>
                </c:pt>
                <c:pt idx="2">
                  <c:v>كريب</c:v>
                </c:pt>
                <c:pt idx="3">
                  <c:v>العاب</c:v>
                </c:pt>
                <c:pt idx="4">
                  <c:v>مختلف</c:v>
                </c:pt>
              </c:strCache>
            </c:strRef>
          </c:cat>
          <c:val>
            <c:numRef>
              <c:f>دراسة!$B$3:$B$7</c:f>
              <c:numCache>
                <c:formatCode>#,##0</c:formatCode>
                <c:ptCount val="5"/>
                <c:pt idx="0">
                  <c:v>1523.8888888888887</c:v>
                </c:pt>
                <c:pt idx="1">
                  <c:v>5076.7777777777792</c:v>
                </c:pt>
                <c:pt idx="2">
                  <c:v>1180.3333333333333</c:v>
                </c:pt>
                <c:pt idx="3">
                  <c:v>2150.5555555555561</c:v>
                </c:pt>
                <c:pt idx="4">
                  <c:v>1231.7777777777778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C-4B05-BC7A-A664A28080DB}"/>
            </c:ext>
          </c:extLst>
        </c:ser>
        <c:ser>
          <c:idx val="1"/>
          <c:order val="1"/>
          <c:tx>
            <c:strRef>
              <c:f>دراسة!$C$2</c:f>
              <c:strCache>
                <c:ptCount val="1"/>
                <c:pt idx="0">
                  <c:v>كمية</c:v>
                </c:pt>
              </c:strCache>
            </c:strRef>
          </c:tx>
          <c:spPr>
            <a:solidFill>
              <a:schemeClr val="accent5">
                <a:tint val="77000"/>
                <a:alpha val="85000"/>
              </a:schemeClr>
            </a:solidFill>
            <a:ln w="9525" cap="flat" cmpd="sng" algn="ctr">
              <a:solidFill>
                <a:schemeClr val="accent5">
                  <a:tint val="77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tint val="77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دراسة!$A$3:$A$7</c:f>
              <c:strCache>
                <c:ptCount val="5"/>
                <c:pt idx="0">
                  <c:v>اراكيل</c:v>
                </c:pt>
                <c:pt idx="1">
                  <c:v>مشروبات</c:v>
                </c:pt>
                <c:pt idx="2">
                  <c:v>كريب</c:v>
                </c:pt>
                <c:pt idx="3">
                  <c:v>العاب</c:v>
                </c:pt>
                <c:pt idx="4">
                  <c:v>مختلف</c:v>
                </c:pt>
              </c:strCache>
            </c:strRef>
          </c:cat>
          <c:val>
            <c:numRef>
              <c:f>دراسة!$C$3:$C$7</c:f>
              <c:numCache>
                <c:formatCode>#,##0</c:formatCode>
                <c:ptCount val="5"/>
                <c:pt idx="0">
                  <c:v>469</c:v>
                </c:pt>
                <c:pt idx="1">
                  <c:v>2511</c:v>
                </c:pt>
                <c:pt idx="2">
                  <c:v>348</c:v>
                </c:pt>
                <c:pt idx="3">
                  <c:v>871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5C-4B05-BC7A-A664A28080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682099008"/>
        <c:axId val="1680979840"/>
        <c:axId val="0"/>
      </c:bar3DChart>
      <c:catAx>
        <c:axId val="168209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979840"/>
        <c:crosses val="autoZero"/>
        <c:auto val="1"/>
        <c:lblAlgn val="ctr"/>
        <c:lblOffset val="100"/>
        <c:noMultiLvlLbl val="0"/>
      </c:catAx>
      <c:valAx>
        <c:axId val="168097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0990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1943100</xdr:colOff>
      <xdr:row>9</xdr:row>
      <xdr:rowOff>360362</xdr:rowOff>
    </xdr:from>
    <xdr:to>
      <xdr:col>15</xdr:col>
      <xdr:colOff>419100</xdr:colOff>
      <xdr:row>24</xdr:row>
      <xdr:rowOff>36512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1930400</xdr:colOff>
      <xdr:row>0</xdr:row>
      <xdr:rowOff>139700</xdr:rowOff>
    </xdr:from>
    <xdr:to>
      <xdr:col>15</xdr:col>
      <xdr:colOff>419100</xdr:colOff>
      <xdr:row>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0C97E-FA91-0E04-A62E-95806F4CE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64.891567129627" createdVersion="8" refreshedVersion="8" minRefreshableVersion="3" recordCount="57" xr:uid="{0704B40C-08CC-49E2-920D-DD1840E32669}">
  <cacheSource type="worksheet">
    <worksheetSource ref="A1:C58" sheet="سلف"/>
  </cacheSource>
  <cacheFields count="3">
    <cacheField name="الاسم" numFmtId="0">
      <sharedItems count="7">
        <s v="عمار"/>
        <s v="سلامة"/>
        <s v="ابو جعفر"/>
        <s v="مجد"/>
        <s v="مصطفى"/>
        <s v="زين"/>
        <s v="حسين"/>
      </sharedItems>
    </cacheField>
    <cacheField name="القيمة" numFmtId="3">
      <sharedItems containsSemiMixedTypes="0" containsString="0" containsNumber="1" containsInteger="1" minValue="100000" maxValue="13500000"/>
    </cacheField>
    <cacheField name="التاريح" numFmtId="14">
      <sharedItems containsSemiMixedTypes="0" containsNonDate="0" containsDate="1" containsString="0" minDate="2025-10-01T00:00:00" maxDate="2025-1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n v="250000"/>
    <d v="2025-10-01T00:00:00"/>
  </r>
  <r>
    <x v="1"/>
    <n v="500000"/>
    <d v="2025-10-01T00:00:00"/>
  </r>
  <r>
    <x v="0"/>
    <n v="1800000"/>
    <d v="2025-10-02T00:00:00"/>
  </r>
  <r>
    <x v="2"/>
    <n v="100000"/>
    <d v="2025-10-02T00:00:00"/>
  </r>
  <r>
    <x v="3"/>
    <n v="100000"/>
    <d v="2025-10-02T00:00:00"/>
  </r>
  <r>
    <x v="4"/>
    <n v="1160000"/>
    <d v="2025-10-03T00:00:00"/>
  </r>
  <r>
    <x v="0"/>
    <n v="200000"/>
    <d v="2025-10-03T00:00:00"/>
  </r>
  <r>
    <x v="0"/>
    <n v="100000"/>
    <d v="2025-10-04T00:00:00"/>
  </r>
  <r>
    <x v="3"/>
    <n v="100000"/>
    <d v="2025-10-04T00:00:00"/>
  </r>
  <r>
    <x v="0"/>
    <n v="350000"/>
    <d v="2025-10-05T00:00:00"/>
  </r>
  <r>
    <x v="0"/>
    <n v="280000"/>
    <d v="2025-10-06T00:00:00"/>
  </r>
  <r>
    <x v="0"/>
    <n v="100000"/>
    <d v="2025-10-06T00:00:00"/>
  </r>
  <r>
    <x v="0"/>
    <n v="1370000"/>
    <d v="2025-10-10T00:00:00"/>
  </r>
  <r>
    <x v="3"/>
    <n v="100000"/>
    <d v="2025-10-10T00:00:00"/>
  </r>
  <r>
    <x v="3"/>
    <n v="100000"/>
    <d v="2025-10-11T00:00:00"/>
  </r>
  <r>
    <x v="0"/>
    <n v="900000"/>
    <d v="2025-10-12T00:00:00"/>
  </r>
  <r>
    <x v="5"/>
    <n v="100000"/>
    <d v="2025-10-12T00:00:00"/>
  </r>
  <r>
    <x v="5"/>
    <n v="100000"/>
    <d v="2025-10-14T00:00:00"/>
  </r>
  <r>
    <x v="0"/>
    <n v="200000"/>
    <d v="2025-10-15T00:00:00"/>
  </r>
  <r>
    <x v="0"/>
    <n v="200000"/>
    <d v="2025-10-16T00:00:00"/>
  </r>
  <r>
    <x v="3"/>
    <n v="200000"/>
    <d v="2025-10-16T00:00:00"/>
  </r>
  <r>
    <x v="3"/>
    <n v="100000"/>
    <d v="2025-10-18T00:00:00"/>
  </r>
  <r>
    <x v="3"/>
    <n v="1800000"/>
    <d v="2025-10-18T00:00:00"/>
  </r>
  <r>
    <x v="0"/>
    <n v="300000"/>
    <d v="2025-10-18T00:00:00"/>
  </r>
  <r>
    <x v="0"/>
    <n v="200000"/>
    <d v="2025-10-19T00:00:00"/>
  </r>
  <r>
    <x v="3"/>
    <n v="250000"/>
    <d v="2025-10-19T00:00:00"/>
  </r>
  <r>
    <x v="0"/>
    <n v="150000"/>
    <d v="2025-10-20T00:00:00"/>
  </r>
  <r>
    <x v="2"/>
    <n v="900000"/>
    <d v="2025-10-20T00:00:00"/>
  </r>
  <r>
    <x v="2"/>
    <n v="100000"/>
    <d v="2025-10-20T00:00:00"/>
  </r>
  <r>
    <x v="2"/>
    <n v="500000"/>
    <d v="2025-10-21T00:00:00"/>
  </r>
  <r>
    <x v="0"/>
    <n v="300000"/>
    <d v="2025-10-21T00:00:00"/>
  </r>
  <r>
    <x v="3"/>
    <n v="300000"/>
    <d v="2025-10-21T00:00:00"/>
  </r>
  <r>
    <x v="5"/>
    <n v="100000"/>
    <d v="2025-10-21T00:00:00"/>
  </r>
  <r>
    <x v="4"/>
    <n v="900000"/>
    <d v="2025-10-21T00:00:00"/>
  </r>
  <r>
    <x v="0"/>
    <n v="300000"/>
    <d v="2025-10-22T00:00:00"/>
  </r>
  <r>
    <x v="5"/>
    <n v="100000"/>
    <d v="2025-10-22T00:00:00"/>
  </r>
  <r>
    <x v="2"/>
    <n v="200000"/>
    <d v="2025-10-23T00:00:00"/>
  </r>
  <r>
    <x v="3"/>
    <n v="200000"/>
    <d v="2025-10-23T00:00:00"/>
  </r>
  <r>
    <x v="0"/>
    <n v="900000"/>
    <d v="2025-10-24T00:00:00"/>
  </r>
  <r>
    <x v="6"/>
    <n v="140000"/>
    <d v="2025-10-24T00:00:00"/>
  </r>
  <r>
    <x v="5"/>
    <n v="100000"/>
    <d v="2025-10-25T00:00:00"/>
  </r>
  <r>
    <x v="2"/>
    <n v="100000"/>
    <d v="2025-10-26T00:00:00"/>
  </r>
  <r>
    <x v="3"/>
    <n v="100000"/>
    <d v="2025-10-26T00:00:00"/>
  </r>
  <r>
    <x v="0"/>
    <n v="500000"/>
    <d v="2025-10-26T00:00:00"/>
  </r>
  <r>
    <x v="0"/>
    <n v="900000"/>
    <d v="2025-10-28T00:00:00"/>
  </r>
  <r>
    <x v="5"/>
    <n v="100000"/>
    <d v="2025-10-28T00:00:00"/>
  </r>
  <r>
    <x v="3"/>
    <n v="100000"/>
    <d v="2025-10-28T00:00:00"/>
  </r>
  <r>
    <x v="2"/>
    <n v="100000"/>
    <d v="2025-10-28T00:00:00"/>
  </r>
  <r>
    <x v="5"/>
    <n v="100000"/>
    <d v="2025-10-29T00:00:00"/>
  </r>
  <r>
    <x v="2"/>
    <n v="200000"/>
    <d v="2025-10-30T00:00:00"/>
  </r>
  <r>
    <x v="0"/>
    <n v="200000"/>
    <d v="2025-10-30T00:00:00"/>
  </r>
  <r>
    <x v="3"/>
    <n v="100000"/>
    <d v="2025-10-30T00:00:00"/>
  </r>
  <r>
    <x v="5"/>
    <n v="100000"/>
    <d v="2025-10-31T00:00:00"/>
  </r>
  <r>
    <x v="2"/>
    <n v="100000"/>
    <d v="2025-10-31T00:00:00"/>
  </r>
  <r>
    <x v="0"/>
    <n v="200000"/>
    <d v="2025-10-31T00:00:00"/>
  </r>
  <r>
    <x v="6"/>
    <n v="4500000"/>
    <d v="2025-10-31T00:00:00"/>
  </r>
  <r>
    <x v="3"/>
    <n v="13500000"/>
    <d v="2025-10-3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8F867-844F-407B-A756-206D1C056D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9" firstHeaderRow="1" firstDataRow="1" firstDataCol="1"/>
  <pivotFields count="3">
    <pivotField axis="axisRow" showAll="0">
      <items count="8">
        <item x="2"/>
        <item x="6"/>
        <item x="5"/>
        <item x="1"/>
        <item x="0"/>
        <item x="3"/>
        <item x="4"/>
        <item t="default"/>
      </items>
    </pivotField>
    <pivotField dataField="1" numFmtId="3" showAll="0"/>
    <pivotField numFmtId="1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القيمة" fld="1" baseField="0" baseItem="0" numFmtId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7.bin"/><Relationship Id="rId1" Type="http://schemas.openxmlformats.org/officeDocument/2006/relationships/pivotTable" Target="../pivotTables/pivotTable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rightToLeft="1" zoomScale="85" zoomScaleNormal="85" workbookViewId="0">
      <selection activeCell="F34" sqref="F34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</cols>
  <sheetData>
    <row r="1" spans="1:5" ht="61">
      <c r="A1" s="120" t="s">
        <v>34</v>
      </c>
      <c r="B1" s="120"/>
    </row>
    <row r="3" spans="1:5" ht="26">
      <c r="A3" s="13" t="s">
        <v>0</v>
      </c>
      <c r="B3" s="36"/>
    </row>
    <row r="5" spans="1:5" ht="29" thickBot="1">
      <c r="A5" s="121" t="s">
        <v>1</v>
      </c>
      <c r="B5" s="121"/>
      <c r="C5" s="32" t="s">
        <v>31</v>
      </c>
      <c r="D5" s="32" t="s">
        <v>32</v>
      </c>
    </row>
    <row r="6" spans="1:5" ht="21">
      <c r="B6" s="12" t="s">
        <v>4</v>
      </c>
      <c r="C6" s="14"/>
      <c r="D6" s="15">
        <f t="shared" ref="D6:D10" si="0">C6/90000</f>
        <v>0</v>
      </c>
    </row>
    <row r="7" spans="1:5" ht="21">
      <c r="B7" s="12" t="s">
        <v>28</v>
      </c>
      <c r="C7" s="16"/>
      <c r="D7" s="17">
        <f t="shared" si="0"/>
        <v>0</v>
      </c>
    </row>
    <row r="8" spans="1:5" ht="21">
      <c r="B8" s="12" t="s">
        <v>27</v>
      </c>
      <c r="C8" s="16"/>
      <c r="D8" s="17">
        <f t="shared" si="0"/>
        <v>0</v>
      </c>
    </row>
    <row r="9" spans="1:5" ht="21">
      <c r="B9" s="12" t="s">
        <v>33</v>
      </c>
      <c r="C9" s="16"/>
      <c r="D9" s="17">
        <f t="shared" si="0"/>
        <v>0</v>
      </c>
    </row>
    <row r="10" spans="1:5" ht="21.5" thickBot="1">
      <c r="B10" s="12" t="s">
        <v>3</v>
      </c>
      <c r="C10" s="18"/>
      <c r="D10" s="19">
        <f t="shared" si="0"/>
        <v>0</v>
      </c>
    </row>
    <row r="11" spans="1:5" ht="21">
      <c r="B11" s="12" t="s">
        <v>30</v>
      </c>
      <c r="C11" s="9">
        <f>SUM(C6:C10)</f>
        <v>0</v>
      </c>
      <c r="D11" s="9">
        <f>SUM(D6:D10)</f>
        <v>0</v>
      </c>
    </row>
    <row r="12" spans="1:5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5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5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5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5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/>
      <c r="D32" s="25">
        <f t="shared" si="1"/>
        <v>0</v>
      </c>
      <c r="E32" s="39">
        <f t="shared" si="2"/>
        <v>1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/>
      <c r="D34" s="25">
        <f t="shared" si="1"/>
        <v>0</v>
      </c>
      <c r="E34" s="39">
        <f t="shared" si="2"/>
        <v>1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0</v>
      </c>
      <c r="D37" s="30">
        <f>SUM(D13:D35)</f>
        <v>0</v>
      </c>
    </row>
    <row r="38" spans="1:5" ht="23.5">
      <c r="A38" s="122" t="s">
        <v>22</v>
      </c>
      <c r="B38" s="122"/>
      <c r="C38" s="31"/>
      <c r="D38" s="31">
        <v>1360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0</v>
      </c>
      <c r="D40" s="30">
        <f>D38</f>
        <v>1360</v>
      </c>
    </row>
    <row r="42" spans="1:5" ht="23.5">
      <c r="B42" s="37" t="s">
        <v>36</v>
      </c>
      <c r="C42" s="38">
        <f>D40+(C40/90000)</f>
        <v>1360</v>
      </c>
    </row>
  </sheetData>
  <autoFilter ref="C12:E35" xr:uid="{00000000-0009-0000-0000-000000000000}"/>
  <mergeCells count="6">
    <mergeCell ref="A40:B40"/>
    <mergeCell ref="A1:B1"/>
    <mergeCell ref="A5:B5"/>
    <mergeCell ref="A12:B12"/>
    <mergeCell ref="A37:B37"/>
    <mergeCell ref="A38:B38"/>
  </mergeCells>
  <pageMargins left="0.7" right="0.7" top="0.41" bottom="0.3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1"/>
  <sheetViews>
    <sheetView showGridLines="0" rightToLeft="1" workbookViewId="0"/>
  </sheetViews>
  <sheetFormatPr defaultRowHeight="14.5"/>
  <sheetData>
    <row r="1" spans="2:18" ht="61">
      <c r="B1" s="54"/>
      <c r="C1" s="54"/>
      <c r="D1" s="125" t="s">
        <v>34</v>
      </c>
      <c r="E1" s="125"/>
      <c r="F1" s="125"/>
      <c r="G1" s="125"/>
      <c r="H1" s="125"/>
    </row>
    <row r="3" spans="2:18" ht="23.5">
      <c r="B3" s="50"/>
      <c r="D3" s="124" t="s">
        <v>48</v>
      </c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</row>
    <row r="5" spans="2:18" ht="33.5">
      <c r="B5" s="53"/>
      <c r="C5" s="53"/>
      <c r="D5" s="123" t="s">
        <v>49</v>
      </c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</row>
    <row r="7" spans="2:18" ht="15" thickBot="1"/>
    <row r="8" spans="2:18" ht="21.5" thickBot="1">
      <c r="C8" s="51">
        <v>1</v>
      </c>
      <c r="D8" s="51">
        <v>2</v>
      </c>
      <c r="E8" s="51">
        <v>3</v>
      </c>
      <c r="F8" s="51">
        <v>4</v>
      </c>
      <c r="G8" s="51">
        <v>5</v>
      </c>
      <c r="H8" s="51">
        <v>6</v>
      </c>
      <c r="I8" s="51">
        <v>7</v>
      </c>
      <c r="J8" s="51">
        <v>8</v>
      </c>
      <c r="K8" s="51">
        <v>9</v>
      </c>
      <c r="L8" s="51">
        <v>10</v>
      </c>
      <c r="M8" s="51">
        <v>11</v>
      </c>
      <c r="N8" s="51">
        <v>12</v>
      </c>
      <c r="O8" s="51">
        <v>13</v>
      </c>
      <c r="P8" s="51">
        <v>14</v>
      </c>
      <c r="Q8" s="51">
        <v>15</v>
      </c>
      <c r="R8" s="51">
        <v>16</v>
      </c>
    </row>
    <row r="9" spans="2:18" ht="21.5" thickBot="1">
      <c r="C9" s="51">
        <v>17</v>
      </c>
      <c r="D9" s="51">
        <v>18</v>
      </c>
      <c r="E9" s="51">
        <v>19</v>
      </c>
      <c r="F9" s="51">
        <v>20</v>
      </c>
      <c r="G9" s="51">
        <v>21</v>
      </c>
      <c r="H9" s="51">
        <v>22</v>
      </c>
      <c r="I9" s="51">
        <v>23</v>
      </c>
      <c r="J9" s="51">
        <v>24</v>
      </c>
      <c r="K9" s="51">
        <v>25</v>
      </c>
      <c r="L9" s="51">
        <v>26</v>
      </c>
      <c r="M9" s="51">
        <v>27</v>
      </c>
      <c r="N9" s="51">
        <v>28</v>
      </c>
      <c r="O9" s="51">
        <v>29</v>
      </c>
      <c r="P9" s="51">
        <v>30</v>
      </c>
      <c r="Q9" s="51">
        <v>31</v>
      </c>
      <c r="R9" s="52"/>
    </row>
    <row r="11" spans="2:18" s="55" customFormat="1" ht="31">
      <c r="C11" s="56" t="s">
        <v>50</v>
      </c>
      <c r="G11" s="56" t="s">
        <v>51</v>
      </c>
      <c r="K11" s="56" t="s">
        <v>52</v>
      </c>
    </row>
  </sheetData>
  <mergeCells count="3">
    <mergeCell ref="D5:R5"/>
    <mergeCell ref="D3:R3"/>
    <mergeCell ref="D1:H1"/>
  </mergeCells>
  <hyperlinks>
    <hyperlink ref="D8" location="'2'!A1" display="'2'!A1" xr:uid="{00000000-0004-0000-0100-000000000000}"/>
    <hyperlink ref="E8" location="'3'!A1" display="'3'!A1" xr:uid="{00000000-0004-0000-0100-000001000000}"/>
    <hyperlink ref="F8" location="'4'!A1" display="'4'!A1" xr:uid="{00000000-0004-0000-0100-000002000000}"/>
    <hyperlink ref="G8" location="'5'!A1" display="'5'!A1" xr:uid="{00000000-0004-0000-0100-000003000000}"/>
    <hyperlink ref="H8" location="' 6'!A1" display="' 6'!A1" xr:uid="{00000000-0004-0000-0100-000004000000}"/>
    <hyperlink ref="I8" location="'7'!A1" display="'7'!A1" xr:uid="{00000000-0004-0000-0100-000005000000}"/>
    <hyperlink ref="J8" location="'8'!A1" display="'8'!A1" xr:uid="{00000000-0004-0000-0100-000006000000}"/>
    <hyperlink ref="K8" location="'9'!A1" display="'9'!A1" xr:uid="{00000000-0004-0000-0100-000007000000}"/>
    <hyperlink ref="L8" location="'10'!A1" display="'10'!A1" xr:uid="{00000000-0004-0000-0100-000008000000}"/>
    <hyperlink ref="M8" location="'11'!A1" display="'11'!A1" xr:uid="{00000000-0004-0000-0100-000009000000}"/>
    <hyperlink ref="N8" location="'12'!A1" display="'12'!A1" xr:uid="{00000000-0004-0000-0100-00000A000000}"/>
    <hyperlink ref="O8" location="'13'!A1" display="'13'!A1" xr:uid="{00000000-0004-0000-0100-00000B000000}"/>
    <hyperlink ref="P8" location="'14'!A1" display="'14'!A1" xr:uid="{00000000-0004-0000-0100-00000C000000}"/>
    <hyperlink ref="Q8" location="'15'!A1" display="'15'!A1" xr:uid="{00000000-0004-0000-0100-00000D000000}"/>
    <hyperlink ref="R8" location="'16'!A1" display="'16'!A1" xr:uid="{00000000-0004-0000-0100-00000E000000}"/>
    <hyperlink ref="C9" location="'17'!A1" display="'17'!A1" xr:uid="{00000000-0004-0000-0100-00000F000000}"/>
    <hyperlink ref="D9" location="'18'!A1" display="'18'!A1" xr:uid="{00000000-0004-0000-0100-000010000000}"/>
    <hyperlink ref="E9" location="'19'!A1" display="'19'!A1" xr:uid="{00000000-0004-0000-0100-000011000000}"/>
    <hyperlink ref="F9" location="'20'!A1" display="'20'!A1" xr:uid="{00000000-0004-0000-0100-000012000000}"/>
    <hyperlink ref="G9" location="'21'!A1" display="'21'!A1" xr:uid="{00000000-0004-0000-0100-000013000000}"/>
    <hyperlink ref="H9" location="'22'!A1" display="'22'!A1" xr:uid="{00000000-0004-0000-0100-000014000000}"/>
    <hyperlink ref="I9" location="'23'!A1" display="'23'!A1" xr:uid="{00000000-0004-0000-0100-000015000000}"/>
    <hyperlink ref="J9" location="'24'!A1" display="'24'!A1" xr:uid="{00000000-0004-0000-0100-000016000000}"/>
    <hyperlink ref="K9" location="'25'!A1" display="'25'!A1" xr:uid="{00000000-0004-0000-0100-000017000000}"/>
    <hyperlink ref="L9" location="'26'!A1" display="'26'!A1" xr:uid="{00000000-0004-0000-0100-000018000000}"/>
    <hyperlink ref="M9" location="'27'!A1" display="'27'!A1" xr:uid="{00000000-0004-0000-0100-000019000000}"/>
    <hyperlink ref="N9" location="'28'!A1" display="'28'!A1" xr:uid="{00000000-0004-0000-0100-00001A000000}"/>
    <hyperlink ref="O9" location="'29'!A1" display="'29'!A1" xr:uid="{00000000-0004-0000-0100-00001B000000}"/>
    <hyperlink ref="P9" location="'30'!A1" display="'30'!A1" xr:uid="{00000000-0004-0000-0100-00001C000000}"/>
    <hyperlink ref="Q9" location="'31'!A1" display="'31'!A1" xr:uid="{00000000-0004-0000-0100-00001D000000}"/>
    <hyperlink ref="C8" location="'1'!A1" display="'1'!A1" xr:uid="{00000000-0004-0000-0100-00001E000000}"/>
    <hyperlink ref="C11" location="ايام!A1" display="مجموع الايام" xr:uid="{00000000-0004-0000-0100-00001F000000}"/>
    <hyperlink ref="G11" location="مجموع!A1" display="المجموع العام" xr:uid="{00000000-0004-0000-0100-000020000000}"/>
    <hyperlink ref="K11" location="دراسة!A1" display="دراسة" xr:uid="{00000000-0004-0000-0100-000021000000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showGridLines="0" rightToLeft="1" topLeftCell="A19" zoomScaleNormal="100" workbookViewId="0">
      <selection activeCell="C35" sqref="C35"/>
    </sheetView>
  </sheetViews>
  <sheetFormatPr defaultRowHeight="15.5"/>
  <cols>
    <col min="1" max="2" width="15.6328125" style="1" customWidth="1"/>
    <col min="3" max="3" width="19" style="8" customWidth="1"/>
    <col min="4" max="4" width="15.54296875" style="8" customWidth="1"/>
    <col min="6" max="7" width="10.0898437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7150000</v>
      </c>
      <c r="D6" s="99">
        <f>C6/90000</f>
        <v>79.444444444444443</v>
      </c>
      <c r="E6" s="103">
        <v>26</v>
      </c>
    </row>
    <row r="7" spans="1:7" ht="21">
      <c r="B7" s="12" t="s">
        <v>28</v>
      </c>
      <c r="C7" s="16">
        <v>17740000</v>
      </c>
      <c r="D7" s="100">
        <f t="shared" ref="D7:D10" si="0">C7/90000</f>
        <v>197.11111111111111</v>
      </c>
      <c r="E7" s="104">
        <f>E11-E6-E8-E9-E10</f>
        <v>114</v>
      </c>
    </row>
    <row r="8" spans="1:7" ht="21">
      <c r="B8" s="12" t="s">
        <v>27</v>
      </c>
      <c r="C8" s="16">
        <v>4720000</v>
      </c>
      <c r="D8" s="100">
        <f t="shared" si="0"/>
        <v>52.444444444444443</v>
      </c>
      <c r="E8" s="105">
        <v>15</v>
      </c>
    </row>
    <row r="9" spans="1:7" ht="21">
      <c r="B9" s="12" t="s">
        <v>33</v>
      </c>
      <c r="C9" s="16">
        <v>6300000</v>
      </c>
      <c r="D9" s="100">
        <f t="shared" si="0"/>
        <v>70</v>
      </c>
      <c r="E9" s="105">
        <v>30</v>
      </c>
    </row>
    <row r="10" spans="1:7" ht="21.5" thickBot="1">
      <c r="B10" s="12" t="s">
        <v>3</v>
      </c>
      <c r="C10" s="18">
        <v>150000</v>
      </c>
      <c r="D10" s="101">
        <f t="shared" si="0"/>
        <v>1.6666666666666667</v>
      </c>
      <c r="E10" s="106">
        <v>1</v>
      </c>
    </row>
    <row r="11" spans="1:7" ht="21">
      <c r="B11" s="12" t="s">
        <v>30</v>
      </c>
      <c r="C11" s="9">
        <f>SUM(C6:C10)</f>
        <v>36060000</v>
      </c>
      <c r="D11" s="9">
        <f>SUM(D6:D10)</f>
        <v>400.66666666666669</v>
      </c>
      <c r="E11" s="9">
        <v>186</v>
      </c>
      <c r="F11" s="42"/>
      <c r="G11" s="42">
        <f>36060000-C11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>
        <v>200000</v>
      </c>
      <c r="D15" s="21">
        <f t="shared" si="1"/>
        <v>2.2222222222222223</v>
      </c>
      <c r="E15" s="39">
        <f t="shared" si="2"/>
        <v>0</v>
      </c>
    </row>
    <row r="16" spans="1:7" ht="19" thickBot="1">
      <c r="A16" s="34" t="s">
        <v>8</v>
      </c>
      <c r="B16" s="5" t="s">
        <v>9</v>
      </c>
      <c r="C16" s="22">
        <v>250000</v>
      </c>
      <c r="D16" s="23">
        <f t="shared" si="1"/>
        <v>2.7777777777777777</v>
      </c>
      <c r="E16" s="39">
        <f t="shared" si="2"/>
        <v>0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>
        <v>2700000</v>
      </c>
      <c r="D28" s="25">
        <f t="shared" si="1"/>
        <v>30</v>
      </c>
      <c r="E28" s="39">
        <f t="shared" si="2"/>
        <v>0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>
        <v>350000</v>
      </c>
      <c r="D30" s="25">
        <f t="shared" si="1"/>
        <v>3.8888888888888888</v>
      </c>
      <c r="E30" s="39">
        <f t="shared" si="2"/>
        <v>0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750000</v>
      </c>
      <c r="D32" s="25">
        <f t="shared" si="1"/>
        <v>8.3333333333333339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>
        <v>256620000</v>
      </c>
      <c r="D35" s="27">
        <f t="shared" si="1"/>
        <v>2851.3333333333335</v>
      </c>
      <c r="E35" s="39">
        <f t="shared" si="2"/>
        <v>0</v>
      </c>
    </row>
    <row r="36" spans="1:5">
      <c r="E36" s="39"/>
    </row>
    <row r="37" spans="1:5" ht="23.5">
      <c r="A37" s="122" t="s">
        <v>21</v>
      </c>
      <c r="B37" s="122"/>
      <c r="C37" s="30">
        <f>SUM(C13:C35)</f>
        <v>261070000</v>
      </c>
      <c r="D37" s="30">
        <f>SUM(D13:D35)</f>
        <v>2900.7777777777778</v>
      </c>
    </row>
    <row r="38" spans="1:5" ht="23.5">
      <c r="A38" s="122" t="s">
        <v>22</v>
      </c>
      <c r="B38" s="122"/>
      <c r="C38" s="31"/>
      <c r="D38" s="31">
        <v>35632.943000000007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-225010000</v>
      </c>
      <c r="D40" s="30">
        <f>D38</f>
        <v>35632.943000000007</v>
      </c>
    </row>
    <row r="42" spans="1:5" ht="23.5">
      <c r="B42" s="37" t="s">
        <v>36</v>
      </c>
      <c r="C42" s="38">
        <f>D40+(C40/90000)</f>
        <v>33132.831888888897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02000000}"/>
  <mergeCells count="10">
    <mergeCell ref="A40:B40"/>
    <mergeCell ref="A43:B43"/>
    <mergeCell ref="A44:D44"/>
    <mergeCell ref="A45:D45"/>
    <mergeCell ref="A46:D46"/>
    <mergeCell ref="A1:B1"/>
    <mergeCell ref="A5:B5"/>
    <mergeCell ref="A12:B12"/>
    <mergeCell ref="A37:B37"/>
    <mergeCell ref="A38:B38"/>
  </mergeCells>
  <hyperlinks>
    <hyperlink ref="D1" location="الرئيسية!A1" display="الصفحة الرئيسية" xr:uid="{00000000-0004-0000-0200-000000000000}"/>
  </hyperlinks>
  <pageMargins left="0.7" right="0.7" top="0.41" bottom="0.3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showGridLines="0" rightToLeft="1" zoomScale="85" zoomScaleNormal="85" workbookViewId="0">
      <selection activeCell="C20" sqref="C20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6860000</v>
      </c>
      <c r="D6" s="99">
        <f>C6/90000</f>
        <v>76.222222222222229</v>
      </c>
      <c r="E6" s="107">
        <v>24</v>
      </c>
    </row>
    <row r="7" spans="1:7" ht="21">
      <c r="B7" s="12" t="s">
        <v>28</v>
      </c>
      <c r="C7" s="16">
        <v>23780000</v>
      </c>
      <c r="D7" s="100">
        <f t="shared" ref="D7:D10" si="0">C7/90000</f>
        <v>264.22222222222223</v>
      </c>
      <c r="E7" s="108">
        <f>E11-E6-E8-E9-E10</f>
        <v>132</v>
      </c>
    </row>
    <row r="8" spans="1:7" ht="21">
      <c r="B8" s="12" t="s">
        <v>27</v>
      </c>
      <c r="C8" s="16">
        <f>1570000+700000</f>
        <v>2270000</v>
      </c>
      <c r="D8" s="100">
        <f t="shared" si="0"/>
        <v>25.222222222222221</v>
      </c>
      <c r="E8" s="109">
        <v>7</v>
      </c>
    </row>
    <row r="9" spans="1:7" ht="21">
      <c r="B9" s="12" t="s">
        <v>33</v>
      </c>
      <c r="C9" s="16">
        <v>9900000</v>
      </c>
      <c r="D9" s="100">
        <f t="shared" si="0"/>
        <v>110</v>
      </c>
      <c r="E9" s="109">
        <v>51</v>
      </c>
    </row>
    <row r="10" spans="1:7" ht="21.5" thickBot="1">
      <c r="B10" s="12" t="s">
        <v>3</v>
      </c>
      <c r="C10" s="18">
        <v>1160000</v>
      </c>
      <c r="D10" s="101">
        <f t="shared" si="0"/>
        <v>12.888888888888889</v>
      </c>
      <c r="E10" s="110">
        <v>8</v>
      </c>
    </row>
    <row r="11" spans="1:7" ht="21">
      <c r="B11" s="12" t="s">
        <v>30</v>
      </c>
      <c r="C11" s="9">
        <f>SUM(C6:C10)</f>
        <v>43970000</v>
      </c>
      <c r="D11" s="9">
        <f>SUM(D6:D10)</f>
        <v>488.5555555555556</v>
      </c>
      <c r="E11" s="9">
        <v>222</v>
      </c>
      <c r="F11" s="42"/>
      <c r="G11" s="42">
        <f>43970000-C11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>
        <f>51*90000</f>
        <v>4590000</v>
      </c>
      <c r="D13" s="29">
        <f>C13/90000</f>
        <v>51</v>
      </c>
      <c r="E13" s="39">
        <f>IF(C13&lt;&gt;0,0,1)</f>
        <v>0</v>
      </c>
    </row>
    <row r="14" spans="1:7" ht="18.5">
      <c r="A14" s="2"/>
      <c r="B14" s="3" t="s">
        <v>6</v>
      </c>
      <c r="C14" s="20"/>
      <c r="D14" s="21">
        <f t="shared" ref="D14:D34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>
        <v>1600000</v>
      </c>
      <c r="D16" s="23">
        <f t="shared" si="1"/>
        <v>17.777777777777779</v>
      </c>
      <c r="E16" s="39">
        <f t="shared" si="2"/>
        <v>0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>
        <f>46*90000</f>
        <v>4140000</v>
      </c>
      <c r="D19" s="23">
        <f t="shared" si="1"/>
        <v>46</v>
      </c>
      <c r="E19" s="39">
        <f t="shared" si="2"/>
        <v>0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>
        <v>2700000</v>
      </c>
      <c r="D30" s="25">
        <f t="shared" si="1"/>
        <v>30</v>
      </c>
      <c r="E30" s="39">
        <f t="shared" si="2"/>
        <v>0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f>1800000+200000</f>
        <v>2000000</v>
      </c>
      <c r="D32" s="25">
        <f t="shared" si="1"/>
        <v>22.222222222222221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/>
      <c r="D34" s="25">
        <f t="shared" si="1"/>
        <v>0</v>
      </c>
      <c r="E34" s="39">
        <f t="shared" si="2"/>
        <v>1</v>
      </c>
    </row>
    <row r="35" spans="1:5" ht="21.5" thickBot="1">
      <c r="A35" s="7"/>
      <c r="B35" s="43" t="s">
        <v>41</v>
      </c>
      <c r="C35" s="26"/>
      <c r="D35" s="27">
        <f>C35/90000</f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15030000</v>
      </c>
      <c r="D37" s="30">
        <f>SUM(D13:D35)</f>
        <v>167</v>
      </c>
    </row>
    <row r="38" spans="1:5" ht="23.5">
      <c r="A38" s="122" t="s">
        <v>22</v>
      </c>
      <c r="B38" s="122"/>
      <c r="C38" s="31"/>
      <c r="D38" s="31">
        <f>'1'!C42</f>
        <v>33132.831888888897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28940000</v>
      </c>
      <c r="D40" s="30">
        <f>D38</f>
        <v>33132.831888888897</v>
      </c>
    </row>
    <row r="42" spans="1:5" ht="23.5">
      <c r="B42" s="37" t="s">
        <v>36</v>
      </c>
      <c r="C42" s="38">
        <f>D40+(C40/90000)</f>
        <v>33454.387444444452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03000000}"/>
  <mergeCells count="10">
    <mergeCell ref="A40:B40"/>
    <mergeCell ref="A43:B43"/>
    <mergeCell ref="A44:D44"/>
    <mergeCell ref="A45:D45"/>
    <mergeCell ref="A46:D46"/>
    <mergeCell ref="A1:B1"/>
    <mergeCell ref="A5:B5"/>
    <mergeCell ref="A12:B12"/>
    <mergeCell ref="A37:B37"/>
    <mergeCell ref="A38:B38"/>
  </mergeCells>
  <hyperlinks>
    <hyperlink ref="D1" location="الرئيسية!A1" display="الصفحة الرئيسية" xr:uid="{00000000-0004-0000-0300-000000000000}"/>
  </hyperlinks>
  <pageMargins left="0.7" right="0.7" top="0.41" bottom="0.3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6"/>
  <sheetViews>
    <sheetView showGridLines="0" rightToLeft="1" zoomScale="85" zoomScaleNormal="85" workbookViewId="0">
      <selection activeCell="C36" sqref="C36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8130000</v>
      </c>
      <c r="D6" s="99">
        <f>C6/90000</f>
        <v>90.333333333333329</v>
      </c>
      <c r="E6" s="107">
        <v>28</v>
      </c>
    </row>
    <row r="7" spans="1:7" ht="21">
      <c r="B7" s="12" t="s">
        <v>28</v>
      </c>
      <c r="C7" s="16">
        <v>27200000</v>
      </c>
      <c r="D7" s="100">
        <f t="shared" ref="D7:D10" si="0">C7/90000</f>
        <v>302.22222222222223</v>
      </c>
      <c r="E7" s="108">
        <f>E11-E6-E8-E9-E10</f>
        <v>157</v>
      </c>
    </row>
    <row r="8" spans="1:7" ht="21">
      <c r="B8" s="12" t="s">
        <v>27</v>
      </c>
      <c r="C8" s="16">
        <v>5090000</v>
      </c>
      <c r="D8" s="100">
        <f t="shared" si="0"/>
        <v>56.555555555555557</v>
      </c>
      <c r="E8" s="109">
        <v>16</v>
      </c>
    </row>
    <row r="9" spans="1:7" ht="21">
      <c r="B9" s="12" t="s">
        <v>33</v>
      </c>
      <c r="C9" s="16">
        <v>11750000</v>
      </c>
      <c r="D9" s="100">
        <f t="shared" si="0"/>
        <v>130.55555555555554</v>
      </c>
      <c r="E9" s="109">
        <v>56</v>
      </c>
    </row>
    <row r="10" spans="1:7" ht="21.5" thickBot="1">
      <c r="B10" s="12" t="s">
        <v>3</v>
      </c>
      <c r="C10" s="18"/>
      <c r="D10" s="101">
        <f t="shared" si="0"/>
        <v>0</v>
      </c>
      <c r="E10" s="110"/>
    </row>
    <row r="11" spans="1:7" ht="21">
      <c r="B11" s="12" t="s">
        <v>30</v>
      </c>
      <c r="C11" s="9">
        <f>SUM(C6:C10)</f>
        <v>52170000</v>
      </c>
      <c r="D11" s="9">
        <f>SUM(D6:D10)</f>
        <v>579.66666666666663</v>
      </c>
      <c r="E11" s="9">
        <v>257</v>
      </c>
      <c r="G11" s="42">
        <f>52170000-C11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>
        <v>80000</v>
      </c>
      <c r="D28" s="25">
        <f t="shared" si="1"/>
        <v>0.88888888888888884</v>
      </c>
      <c r="E28" s="39">
        <f t="shared" si="2"/>
        <v>0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1360000</v>
      </c>
      <c r="D32" s="25">
        <f t="shared" si="1"/>
        <v>15.111111111111111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>
        <v>500000</v>
      </c>
      <c r="D35" s="27">
        <f t="shared" si="1"/>
        <v>5.5555555555555554</v>
      </c>
      <c r="E35" s="39">
        <f t="shared" si="2"/>
        <v>0</v>
      </c>
    </row>
    <row r="37" spans="1:5" ht="23.5">
      <c r="A37" s="122" t="s">
        <v>21</v>
      </c>
      <c r="B37" s="122"/>
      <c r="C37" s="30">
        <f>SUM(C13:C35)</f>
        <v>2140000</v>
      </c>
      <c r="D37" s="30">
        <f>SUM(D13:D35)</f>
        <v>23.777777777777779</v>
      </c>
    </row>
    <row r="38" spans="1:5" ht="23.5">
      <c r="A38" s="122" t="s">
        <v>22</v>
      </c>
      <c r="B38" s="122"/>
      <c r="C38" s="31"/>
      <c r="D38" s="31">
        <f>'2'!C42</f>
        <v>33454.387444444452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50030000</v>
      </c>
      <c r="D40" s="30">
        <f>D38</f>
        <v>33454.387444444452</v>
      </c>
    </row>
    <row r="42" spans="1:5" ht="23.5">
      <c r="B42" s="37" t="s">
        <v>36</v>
      </c>
      <c r="C42" s="45">
        <f>D40+(C40/90000)</f>
        <v>34010.276333333342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04000000}"/>
  <mergeCells count="10">
    <mergeCell ref="A40:B40"/>
    <mergeCell ref="A43:B43"/>
    <mergeCell ref="A44:D44"/>
    <mergeCell ref="A45:D45"/>
    <mergeCell ref="A46:D46"/>
    <mergeCell ref="A1:B1"/>
    <mergeCell ref="A5:B5"/>
    <mergeCell ref="A12:B12"/>
    <mergeCell ref="A37:B37"/>
    <mergeCell ref="A38:B38"/>
  </mergeCells>
  <hyperlinks>
    <hyperlink ref="D1" location="الرئيسية!A1" display="الصفحة الرئيسية" xr:uid="{00000000-0004-0000-0400-000000000000}"/>
  </hyperlinks>
  <pageMargins left="0.7" right="0.7" top="0.41" bottom="0.3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"/>
  <sheetViews>
    <sheetView showGridLines="0" rightToLeft="1" zoomScale="85" zoomScaleNormal="85" workbookViewId="0">
      <selection activeCell="C17" sqref="C17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6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7630000</v>
      </c>
      <c r="D6" s="99">
        <f>C6/90000</f>
        <v>84.777777777777771</v>
      </c>
      <c r="E6" s="107">
        <v>26</v>
      </c>
    </row>
    <row r="7" spans="1:7" ht="21">
      <c r="B7" s="12" t="s">
        <v>28</v>
      </c>
      <c r="C7" s="16">
        <v>29680000</v>
      </c>
      <c r="D7" s="100">
        <f t="shared" ref="D7:D10" si="0">C7/90000</f>
        <v>329.77777777777777</v>
      </c>
      <c r="E7" s="108">
        <f>E11-E6-E8-E9-E10</f>
        <v>168</v>
      </c>
    </row>
    <row r="8" spans="1:7" ht="21">
      <c r="B8" s="12" t="s">
        <v>27</v>
      </c>
      <c r="C8" s="16">
        <v>4960000</v>
      </c>
      <c r="D8" s="100">
        <f t="shared" si="0"/>
        <v>55.111111111111114</v>
      </c>
      <c r="E8" s="109">
        <v>15</v>
      </c>
    </row>
    <row r="9" spans="1:7" ht="21">
      <c r="B9" s="12" t="s">
        <v>33</v>
      </c>
      <c r="C9" s="16">
        <v>9650000</v>
      </c>
      <c r="D9" s="100">
        <f t="shared" si="0"/>
        <v>107.22222222222223</v>
      </c>
      <c r="E9" s="109">
        <v>41</v>
      </c>
    </row>
    <row r="10" spans="1:7" ht="21.5" thickBot="1">
      <c r="B10" s="12" t="s">
        <v>3</v>
      </c>
      <c r="C10" s="18"/>
      <c r="D10" s="101">
        <f t="shared" si="0"/>
        <v>0</v>
      </c>
      <c r="E10" s="110"/>
    </row>
    <row r="11" spans="1:7" ht="21">
      <c r="B11" s="12" t="s">
        <v>30</v>
      </c>
      <c r="C11" s="9">
        <f>SUM(C6:C10)</f>
        <v>51920000</v>
      </c>
      <c r="D11" s="9">
        <f>SUM(D6:D10)</f>
        <v>576.88888888888891</v>
      </c>
      <c r="E11" s="9">
        <v>250</v>
      </c>
      <c r="F11" s="42"/>
      <c r="G11" s="42">
        <f>51920000-C11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>
        <v>1650000</v>
      </c>
      <c r="D16" s="23">
        <f t="shared" si="1"/>
        <v>18.333333333333332</v>
      </c>
      <c r="E16" s="39">
        <f t="shared" si="2"/>
        <v>0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>
        <f>90*90000</f>
        <v>8100000</v>
      </c>
      <c r="D30" s="25">
        <f t="shared" si="1"/>
        <v>90</v>
      </c>
      <c r="E30" s="39">
        <f t="shared" si="2"/>
        <v>0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200000</v>
      </c>
      <c r="D32" s="25">
        <f t="shared" si="1"/>
        <v>2.2222222222222223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10150000</v>
      </c>
      <c r="D37" s="30">
        <f>SUM(D13:D35)</f>
        <v>112.77777777777779</v>
      </c>
    </row>
    <row r="38" spans="1:5" ht="23.5">
      <c r="A38" s="122" t="s">
        <v>22</v>
      </c>
      <c r="B38" s="122"/>
      <c r="C38" s="31"/>
      <c r="D38" s="31">
        <f>'3'!C42</f>
        <v>34010.276333333342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41770000</v>
      </c>
      <c r="D40" s="30">
        <f>D38</f>
        <v>34010.276333333342</v>
      </c>
    </row>
    <row r="42" spans="1:5" ht="23.5">
      <c r="B42" s="37" t="s">
        <v>36</v>
      </c>
      <c r="C42" s="44">
        <f>D40+(C40/90000)</f>
        <v>34474.387444444452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05000000}"/>
  <mergeCells count="10">
    <mergeCell ref="A40:B40"/>
    <mergeCell ref="A43:B43"/>
    <mergeCell ref="A44:D44"/>
    <mergeCell ref="A45:D45"/>
    <mergeCell ref="A46:D46"/>
    <mergeCell ref="A1:B1"/>
    <mergeCell ref="A5:B5"/>
    <mergeCell ref="A12:B12"/>
    <mergeCell ref="A37:B37"/>
    <mergeCell ref="A38:B38"/>
  </mergeCells>
  <hyperlinks>
    <hyperlink ref="D1" location="الرئيسية!A1" display="الصفحة الرئيسية" xr:uid="{00000000-0004-0000-0500-000000000000}"/>
  </hyperlinks>
  <pageMargins left="0.7" right="0.7" top="0.41" bottom="0.3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"/>
  <sheetViews>
    <sheetView showGridLines="0" rightToLeft="1" zoomScale="85" zoomScaleNormal="85" workbookViewId="0">
      <selection activeCell="C20" sqref="C20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7860000</v>
      </c>
      <c r="D6" s="99">
        <f>C6/90000</f>
        <v>87.333333333333329</v>
      </c>
      <c r="E6" s="107">
        <v>27</v>
      </c>
    </row>
    <row r="7" spans="1:7" ht="21">
      <c r="B7" s="12" t="s">
        <v>28</v>
      </c>
      <c r="C7" s="16">
        <v>24360000</v>
      </c>
      <c r="D7" s="100">
        <f t="shared" ref="D7:D10" si="0">C7/90000</f>
        <v>270.66666666666669</v>
      </c>
      <c r="E7" s="108">
        <f>E11-E6-E8-E9-E10</f>
        <v>148</v>
      </c>
    </row>
    <row r="8" spans="1:7" ht="21">
      <c r="B8" s="12" t="s">
        <v>27</v>
      </c>
      <c r="C8" s="16">
        <v>3880000</v>
      </c>
      <c r="D8" s="100">
        <f t="shared" si="0"/>
        <v>43.111111111111114</v>
      </c>
      <c r="E8" s="109">
        <v>12</v>
      </c>
    </row>
    <row r="9" spans="1:7" ht="21">
      <c r="B9" s="12" t="s">
        <v>33</v>
      </c>
      <c r="C9" s="16">
        <v>8950000</v>
      </c>
      <c r="D9" s="100">
        <f t="shared" si="0"/>
        <v>99.444444444444443</v>
      </c>
      <c r="E9" s="109">
        <v>37</v>
      </c>
    </row>
    <row r="10" spans="1:7" ht="21.5" thickBot="1">
      <c r="B10" s="12" t="s">
        <v>3</v>
      </c>
      <c r="C10" s="18">
        <v>2470000</v>
      </c>
      <c r="D10" s="101">
        <f t="shared" si="0"/>
        <v>27.444444444444443</v>
      </c>
      <c r="E10" s="110">
        <v>17</v>
      </c>
    </row>
    <row r="11" spans="1:7" ht="21">
      <c r="B11" s="12" t="s">
        <v>30</v>
      </c>
      <c r="C11" s="9">
        <f>SUM(C6:C10)</f>
        <v>47520000</v>
      </c>
      <c r="D11" s="9">
        <f>SUM(D6:D10)</f>
        <v>528</v>
      </c>
      <c r="E11" s="9">
        <v>241</v>
      </c>
      <c r="F11" s="42"/>
      <c r="G11" s="42">
        <f>47520000-C11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>
        <f>29*90000</f>
        <v>2610000</v>
      </c>
      <c r="D19" s="23">
        <f t="shared" si="1"/>
        <v>29</v>
      </c>
      <c r="E19" s="39">
        <f t="shared" si="2"/>
        <v>0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350000</v>
      </c>
      <c r="D32" s="25">
        <f t="shared" si="1"/>
        <v>3.8888888888888888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3160000</v>
      </c>
      <c r="D37" s="30">
        <f>SUM(D13:D35)</f>
        <v>35.111111111111107</v>
      </c>
    </row>
    <row r="38" spans="1:5" ht="23.5">
      <c r="A38" s="122" t="s">
        <v>22</v>
      </c>
      <c r="B38" s="122"/>
      <c r="C38" s="31"/>
      <c r="D38" s="31">
        <f>'4'!C42</f>
        <v>34474.387444444452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44360000</v>
      </c>
      <c r="D40" s="30">
        <f>D38</f>
        <v>34474.387444444452</v>
      </c>
    </row>
    <row r="42" spans="1:5" ht="23.5">
      <c r="B42" s="37" t="s">
        <v>36</v>
      </c>
      <c r="C42" s="44">
        <f>D40+(C40/90000)</f>
        <v>34967.276333333342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06000000}"/>
  <mergeCells count="10">
    <mergeCell ref="A40:B40"/>
    <mergeCell ref="A43:B43"/>
    <mergeCell ref="A44:D44"/>
    <mergeCell ref="A45:D45"/>
    <mergeCell ref="A46:D46"/>
    <mergeCell ref="A1:B1"/>
    <mergeCell ref="A5:B5"/>
    <mergeCell ref="A12:B12"/>
    <mergeCell ref="A37:B37"/>
    <mergeCell ref="A38:B38"/>
  </mergeCells>
  <hyperlinks>
    <hyperlink ref="D1" location="الرئيسية!A1" display="الصفحة الرئيسية" xr:uid="{00000000-0004-0000-0600-000000000000}"/>
  </hyperlinks>
  <pageMargins left="0.7" right="0.7" top="0.41" bottom="0.3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6"/>
  <sheetViews>
    <sheetView showGridLines="0" rightToLeft="1" zoomScale="85" zoomScaleNormal="85" workbookViewId="0">
      <selection activeCell="C36" sqref="C36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906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1200000</v>
      </c>
      <c r="D6" s="99">
        <f>C6/90000</f>
        <v>13.333333333333334</v>
      </c>
      <c r="E6" s="107">
        <v>4</v>
      </c>
    </row>
    <row r="7" spans="1:7" ht="21">
      <c r="B7" s="12" t="s">
        <v>28</v>
      </c>
      <c r="C7" s="16">
        <v>10440000</v>
      </c>
      <c r="D7" s="100">
        <f t="shared" ref="D7:D10" si="0">C7/90000</f>
        <v>116</v>
      </c>
      <c r="E7" s="108">
        <f>E11-E6-E8-E9-E10</f>
        <v>41</v>
      </c>
    </row>
    <row r="8" spans="1:7" ht="21">
      <c r="B8" s="12" t="s">
        <v>27</v>
      </c>
      <c r="C8" s="16">
        <v>660000</v>
      </c>
      <c r="D8" s="100">
        <f t="shared" si="0"/>
        <v>7.333333333333333</v>
      </c>
      <c r="E8" s="109">
        <v>2</v>
      </c>
    </row>
    <row r="9" spans="1:7" ht="21">
      <c r="B9" s="12" t="s">
        <v>33</v>
      </c>
      <c r="C9" s="16">
        <v>2750000</v>
      </c>
      <c r="D9" s="100">
        <f t="shared" si="0"/>
        <v>30.555555555555557</v>
      </c>
      <c r="E9" s="109">
        <v>11</v>
      </c>
    </row>
    <row r="10" spans="1:7" ht="21.5" thickBot="1">
      <c r="B10" s="12" t="s">
        <v>3</v>
      </c>
      <c r="C10" s="18"/>
      <c r="D10" s="101">
        <f t="shared" si="0"/>
        <v>0</v>
      </c>
      <c r="E10" s="110"/>
    </row>
    <row r="11" spans="1:7" ht="21">
      <c r="B11" s="12" t="s">
        <v>30</v>
      </c>
      <c r="C11" s="9">
        <f>SUM(C6:C10)</f>
        <v>15050000</v>
      </c>
      <c r="D11" s="9">
        <f>SUM(D6:D10)</f>
        <v>167.22222222222223</v>
      </c>
      <c r="E11" s="9">
        <v>58</v>
      </c>
      <c r="G11" s="42">
        <f>15050000-C11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>
        <v>400000</v>
      </c>
      <c r="D15" s="21">
        <f t="shared" si="1"/>
        <v>4.4444444444444446</v>
      </c>
      <c r="E15" s="39">
        <f t="shared" si="2"/>
        <v>0</v>
      </c>
    </row>
    <row r="16" spans="1:7" ht="19" thickBot="1">
      <c r="A16" s="34" t="s">
        <v>8</v>
      </c>
      <c r="B16" s="5" t="s">
        <v>9</v>
      </c>
      <c r="C16" s="22">
        <v>10000000</v>
      </c>
      <c r="D16" s="23">
        <f t="shared" si="1"/>
        <v>111.11111111111111</v>
      </c>
      <c r="E16" s="39">
        <f t="shared" si="2"/>
        <v>0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>
        <f>159*90000</f>
        <v>14310000</v>
      </c>
      <c r="D21" s="23">
        <f t="shared" si="1"/>
        <v>159</v>
      </c>
      <c r="E21" s="39">
        <f t="shared" si="2"/>
        <v>0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>
        <f>63*90000</f>
        <v>5670000</v>
      </c>
      <c r="D26" s="25">
        <f t="shared" si="1"/>
        <v>63</v>
      </c>
      <c r="E26" s="39">
        <f t="shared" si="2"/>
        <v>0</v>
      </c>
    </row>
    <row r="27" spans="1:5" ht="18.5">
      <c r="A27" s="7"/>
      <c r="B27" s="6" t="s">
        <v>20</v>
      </c>
      <c r="C27" s="24">
        <v>2300000</v>
      </c>
      <c r="D27" s="25">
        <f t="shared" si="1"/>
        <v>25.555555555555557</v>
      </c>
      <c r="E27" s="39">
        <f t="shared" si="2"/>
        <v>0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>
        <f>45*90000</f>
        <v>4050000</v>
      </c>
      <c r="D30" s="25">
        <f t="shared" si="1"/>
        <v>45</v>
      </c>
      <c r="E30" s="39">
        <f t="shared" si="2"/>
        <v>0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280000</v>
      </c>
      <c r="D32" s="25">
        <f t="shared" si="1"/>
        <v>3.1111111111111112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>
        <v>1800000</v>
      </c>
      <c r="D35" s="27">
        <f t="shared" si="1"/>
        <v>20</v>
      </c>
      <c r="E35" s="39">
        <f t="shared" si="2"/>
        <v>0</v>
      </c>
    </row>
    <row r="37" spans="1:5" ht="23.5">
      <c r="A37" s="122" t="s">
        <v>21</v>
      </c>
      <c r="B37" s="122"/>
      <c r="C37" s="30">
        <f>SUM(C13:C35)</f>
        <v>39010000</v>
      </c>
      <c r="D37" s="30">
        <f>SUM(D13:D35)</f>
        <v>433.4444444444444</v>
      </c>
    </row>
    <row r="38" spans="1:5" ht="23.5">
      <c r="A38" s="122" t="s">
        <v>22</v>
      </c>
      <c r="B38" s="122"/>
      <c r="C38" s="31"/>
      <c r="D38" s="31">
        <f>'5'!C42</f>
        <v>34967.276333333342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-23960000</v>
      </c>
      <c r="D40" s="30">
        <f>D38</f>
        <v>34967.276333333342</v>
      </c>
    </row>
    <row r="42" spans="1:5" ht="23.5">
      <c r="B42" s="37" t="s">
        <v>36</v>
      </c>
      <c r="C42" s="44">
        <f>D40+(C40/90000)</f>
        <v>34701.054111111123</v>
      </c>
    </row>
    <row r="43" spans="1:5" ht="20.25" customHeight="1">
      <c r="A43" s="118" t="s">
        <v>43</v>
      </c>
      <c r="B43" s="118"/>
      <c r="C43" s="47"/>
      <c r="D43" s="47"/>
    </row>
    <row r="44" spans="1:5" ht="20.25" customHeight="1">
      <c r="A44" s="119"/>
      <c r="B44" s="119"/>
      <c r="C44" s="119"/>
      <c r="D44" s="119"/>
    </row>
    <row r="45" spans="1:5" ht="20.25" customHeight="1">
      <c r="A45" s="119"/>
      <c r="B45" s="119"/>
      <c r="C45" s="119"/>
      <c r="D45" s="119"/>
    </row>
    <row r="46" spans="1:5" ht="20.25" customHeight="1">
      <c r="A46" s="119"/>
      <c r="B46" s="119"/>
      <c r="C46" s="119"/>
      <c r="D46" s="119"/>
    </row>
  </sheetData>
  <autoFilter ref="C12:E35" xr:uid="{00000000-0009-0000-0000-000007000000}"/>
  <mergeCells count="10">
    <mergeCell ref="A40:B40"/>
    <mergeCell ref="A44:D44"/>
    <mergeCell ref="A45:D45"/>
    <mergeCell ref="A46:D46"/>
    <mergeCell ref="A43:B43"/>
    <mergeCell ref="A1:B1"/>
    <mergeCell ref="A5:B5"/>
    <mergeCell ref="A12:B12"/>
    <mergeCell ref="A37:B37"/>
    <mergeCell ref="A38:B38"/>
  </mergeCells>
  <hyperlinks>
    <hyperlink ref="D1" location="الرئيسية!A1" display="الصفحة الرئيسية" xr:uid="{00000000-0004-0000-0700-000000000000}"/>
  </hyperlinks>
  <pageMargins left="0.7" right="0.7" top="0.41" bottom="0.3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"/>
  <sheetViews>
    <sheetView showGridLines="0" rightToLeft="1" zoomScale="85" zoomScaleNormal="85" workbookViewId="0">
      <selection activeCell="A45" sqref="A45:D45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600000</v>
      </c>
      <c r="D6" s="99">
        <f>C6/90000</f>
        <v>6.666666666666667</v>
      </c>
      <c r="E6" s="107">
        <v>2</v>
      </c>
    </row>
    <row r="7" spans="1:7" ht="21">
      <c r="B7" s="12" t="s">
        <v>28</v>
      </c>
      <c r="C7" s="16">
        <v>5070000</v>
      </c>
      <c r="D7" s="100">
        <f t="shared" ref="D7:D10" si="0">C7/90000</f>
        <v>56.333333333333336</v>
      </c>
      <c r="E7" s="108">
        <f>E11-E6-E8-E9-E10</f>
        <v>19</v>
      </c>
    </row>
    <row r="8" spans="1:7" ht="21">
      <c r="B8" s="12" t="s">
        <v>27</v>
      </c>
      <c r="C8" s="16">
        <v>1900000</v>
      </c>
      <c r="D8" s="100">
        <f t="shared" si="0"/>
        <v>21.111111111111111</v>
      </c>
      <c r="E8" s="109">
        <v>6</v>
      </c>
    </row>
    <row r="9" spans="1:7" ht="21">
      <c r="B9" s="12" t="s">
        <v>33</v>
      </c>
      <c r="C9" s="16">
        <v>750000</v>
      </c>
      <c r="D9" s="100">
        <f t="shared" si="0"/>
        <v>8.3333333333333339</v>
      </c>
      <c r="E9" s="109">
        <v>3</v>
      </c>
    </row>
    <row r="10" spans="1:7" ht="21.5" thickBot="1">
      <c r="B10" s="12" t="s">
        <v>3</v>
      </c>
      <c r="C10" s="18"/>
      <c r="D10" s="101">
        <f t="shared" si="0"/>
        <v>0</v>
      </c>
      <c r="E10" s="110"/>
    </row>
    <row r="11" spans="1:7" ht="21">
      <c r="B11" s="12" t="s">
        <v>30</v>
      </c>
      <c r="C11" s="9">
        <f>SUM(C6:C10)</f>
        <v>8320000</v>
      </c>
      <c r="D11" s="9">
        <f>SUM(D6:D10)</f>
        <v>92.444444444444443</v>
      </c>
      <c r="E11" s="9">
        <v>30</v>
      </c>
      <c r="G11" s="42">
        <f>8320000-C11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>
        <f>145*90000</f>
        <v>13050000</v>
      </c>
      <c r="D17" s="23">
        <f t="shared" si="1"/>
        <v>145</v>
      </c>
      <c r="E17" s="39">
        <f t="shared" si="2"/>
        <v>0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>
        <f>(1978+637)*90000</f>
        <v>235350000</v>
      </c>
      <c r="D31" s="25">
        <f t="shared" si="1"/>
        <v>2615</v>
      </c>
      <c r="E31" s="39">
        <f t="shared" si="2"/>
        <v>0</v>
      </c>
    </row>
    <row r="32" spans="1:5" ht="18.5">
      <c r="A32" s="7"/>
      <c r="B32" s="6" t="s">
        <v>40</v>
      </c>
      <c r="C32" s="41">
        <v>100000</v>
      </c>
      <c r="D32" s="25">
        <f t="shared" si="1"/>
        <v>1.1111111111111112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248700000</v>
      </c>
      <c r="D37" s="30">
        <f>SUM(D13:D35)</f>
        <v>2763.3333333333335</v>
      </c>
    </row>
    <row r="38" spans="1:5" ht="23.5">
      <c r="A38" s="122" t="s">
        <v>22</v>
      </c>
      <c r="B38" s="122"/>
      <c r="C38" s="31"/>
      <c r="D38" s="31">
        <f>' 6'!C42</f>
        <v>34701.054111111123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-240380000</v>
      </c>
      <c r="D40" s="30">
        <f>D38</f>
        <v>34701.054111111123</v>
      </c>
    </row>
    <row r="42" spans="1:5" ht="23.5">
      <c r="B42" s="37" t="s">
        <v>36</v>
      </c>
      <c r="C42" s="44">
        <f>D40+(C40/90000)</f>
        <v>32030.165222222233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 t="s">
        <v>109</v>
      </c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08000000}"/>
  <mergeCells count="10">
    <mergeCell ref="A40:B40"/>
    <mergeCell ref="A43:B43"/>
    <mergeCell ref="A44:D44"/>
    <mergeCell ref="A45:D45"/>
    <mergeCell ref="A46:D46"/>
    <mergeCell ref="A1:B1"/>
    <mergeCell ref="A5:B5"/>
    <mergeCell ref="A12:B12"/>
    <mergeCell ref="A37:B37"/>
    <mergeCell ref="A38:B38"/>
  </mergeCells>
  <hyperlinks>
    <hyperlink ref="D1" location="الرئيسية!A1" display="الصفحة الرئيسية" xr:uid="{00000000-0004-0000-0800-000000000000}"/>
  </hyperlinks>
  <pageMargins left="0.7" right="0.7" top="0.41" bottom="0.3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6"/>
  <sheetViews>
    <sheetView showGridLines="0" rightToLeft="1" zoomScale="85" zoomScaleNormal="85" workbookViewId="0">
      <selection activeCell="A46" sqref="A46:D46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6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2100000</v>
      </c>
      <c r="D6" s="99">
        <f>C6/90000</f>
        <v>23.333333333333332</v>
      </c>
      <c r="E6" s="107">
        <v>7</v>
      </c>
    </row>
    <row r="7" spans="1:7" ht="21">
      <c r="B7" s="12" t="s">
        <v>28</v>
      </c>
      <c r="C7" s="16">
        <v>14120000</v>
      </c>
      <c r="D7" s="100">
        <f t="shared" ref="D7:D10" si="0">C7/90000</f>
        <v>156.88888888888889</v>
      </c>
      <c r="E7" s="108">
        <f>E11-E6-E8-E9-E10</f>
        <v>63</v>
      </c>
    </row>
    <row r="8" spans="1:7" ht="21">
      <c r="B8" s="12" t="s">
        <v>27</v>
      </c>
      <c r="C8" s="16">
        <v>1610000</v>
      </c>
      <c r="D8" s="100">
        <f t="shared" si="0"/>
        <v>17.888888888888889</v>
      </c>
      <c r="E8" s="109">
        <v>5</v>
      </c>
    </row>
    <row r="9" spans="1:7" ht="21">
      <c r="B9" s="12" t="s">
        <v>33</v>
      </c>
      <c r="C9" s="16">
        <v>4750000</v>
      </c>
      <c r="D9" s="100">
        <f t="shared" si="0"/>
        <v>52.777777777777779</v>
      </c>
      <c r="E9" s="109">
        <v>22</v>
      </c>
    </row>
    <row r="10" spans="1:7" ht="21.5" thickBot="1">
      <c r="B10" s="12" t="s">
        <v>3</v>
      </c>
      <c r="C10" s="18">
        <v>150000</v>
      </c>
      <c r="D10" s="101">
        <f t="shared" si="0"/>
        <v>1.6666666666666667</v>
      </c>
      <c r="E10" s="110">
        <v>1</v>
      </c>
    </row>
    <row r="11" spans="1:7" ht="21">
      <c r="B11" s="12" t="s">
        <v>30</v>
      </c>
      <c r="C11" s="9">
        <f>SUM(C6:C10)</f>
        <v>22730000</v>
      </c>
      <c r="D11" s="9">
        <f>SUM(D6:D10)</f>
        <v>252.55555555555554</v>
      </c>
      <c r="E11" s="9">
        <v>98</v>
      </c>
      <c r="F11" s="42"/>
      <c r="G11" s="42">
        <f>22730000-C11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>
        <f>104*90000</f>
        <v>9360000</v>
      </c>
      <c r="D28" s="25">
        <f t="shared" si="1"/>
        <v>104</v>
      </c>
      <c r="E28" s="39">
        <f t="shared" si="2"/>
        <v>0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>
        <f>5500*90000</f>
        <v>495000000</v>
      </c>
      <c r="D31" s="25">
        <f t="shared" si="1"/>
        <v>5500</v>
      </c>
      <c r="E31" s="39">
        <f t="shared" si="2"/>
        <v>0</v>
      </c>
    </row>
    <row r="32" spans="1:5" ht="18.5">
      <c r="A32" s="7"/>
      <c r="B32" s="6" t="s">
        <v>40</v>
      </c>
      <c r="C32" s="41"/>
      <c r="D32" s="25">
        <f t="shared" si="1"/>
        <v>0</v>
      </c>
      <c r="E32" s="39">
        <f t="shared" si="2"/>
        <v>1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504560000</v>
      </c>
      <c r="D37" s="30">
        <f>SUM(D13:D35)</f>
        <v>5606.2222222222226</v>
      </c>
    </row>
    <row r="38" spans="1:5" ht="23.5">
      <c r="A38" s="122" t="s">
        <v>22</v>
      </c>
      <c r="B38" s="122"/>
      <c r="C38" s="31"/>
      <c r="D38" s="31">
        <f>'7'!C42</f>
        <v>32030.165222222233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-481830000</v>
      </c>
      <c r="D40" s="30">
        <f>D38</f>
        <v>32030.165222222233</v>
      </c>
    </row>
    <row r="42" spans="1:5" ht="23.5">
      <c r="B42" s="37" t="s">
        <v>36</v>
      </c>
      <c r="C42" s="44">
        <f>D40+(C40/90000)</f>
        <v>26676.498555555565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 t="s">
        <v>108</v>
      </c>
      <c r="B44" s="119"/>
      <c r="C44" s="119"/>
      <c r="D44" s="119"/>
    </row>
    <row r="45" spans="1:5" ht="18.5">
      <c r="A45" s="119" t="s">
        <v>110</v>
      </c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09000000}"/>
  <mergeCells count="10">
    <mergeCell ref="A40:B40"/>
    <mergeCell ref="A43:B43"/>
    <mergeCell ref="A44:D44"/>
    <mergeCell ref="A45:D45"/>
    <mergeCell ref="A46:D46"/>
    <mergeCell ref="A1:B1"/>
    <mergeCell ref="A5:B5"/>
    <mergeCell ref="A12:B12"/>
    <mergeCell ref="A37:B37"/>
    <mergeCell ref="A38:B38"/>
  </mergeCells>
  <hyperlinks>
    <hyperlink ref="D1" location="الرئيسية!A1" display="الصفحة الرئيسية" xr:uid="{00000000-0004-0000-0900-000000000000}"/>
  </hyperlinks>
  <pageMargins left="0.7" right="0.7" top="0.41" bottom="0.3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6"/>
  <sheetViews>
    <sheetView showGridLines="0" rightToLeft="1" zoomScale="85" zoomScaleNormal="85" workbookViewId="0">
      <selection activeCell="C25" sqref="C25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6" max="6" width="10.90625" bestFit="1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900000</v>
      </c>
      <c r="D6" s="99">
        <f>C6/90000</f>
        <v>10</v>
      </c>
      <c r="E6" s="107">
        <v>3</v>
      </c>
    </row>
    <row r="7" spans="1:7" ht="21">
      <c r="B7" s="12" t="s">
        <v>28</v>
      </c>
      <c r="C7" s="16">
        <v>1650000</v>
      </c>
      <c r="D7" s="100">
        <f t="shared" ref="D7:D10" si="0">C7/90000</f>
        <v>18.333333333333332</v>
      </c>
      <c r="E7" s="108">
        <f>E11-E6-E8-E9-E10</f>
        <v>12</v>
      </c>
    </row>
    <row r="8" spans="1:7" ht="21">
      <c r="B8" s="12" t="s">
        <v>27</v>
      </c>
      <c r="C8" s="16"/>
      <c r="D8" s="100">
        <f t="shared" si="0"/>
        <v>0</v>
      </c>
      <c r="E8" s="109"/>
    </row>
    <row r="9" spans="1:7" ht="21">
      <c r="B9" s="12" t="s">
        <v>33</v>
      </c>
      <c r="C9" s="16">
        <v>750000</v>
      </c>
      <c r="D9" s="100">
        <f t="shared" si="0"/>
        <v>8.3333333333333339</v>
      </c>
      <c r="E9" s="109">
        <v>3</v>
      </c>
    </row>
    <row r="10" spans="1:7" ht="21.5" thickBot="1">
      <c r="B10" s="12" t="s">
        <v>3</v>
      </c>
      <c r="C10" s="18"/>
      <c r="D10" s="101">
        <f t="shared" si="0"/>
        <v>0</v>
      </c>
      <c r="E10" s="110"/>
    </row>
    <row r="11" spans="1:7" ht="21">
      <c r="B11" s="12" t="s">
        <v>30</v>
      </c>
      <c r="C11" s="9">
        <f>SUM(C6:C10)</f>
        <v>3300000</v>
      </c>
      <c r="D11" s="9">
        <f>SUM(D6:D10)</f>
        <v>36.666666666666664</v>
      </c>
      <c r="E11" s="9">
        <v>18</v>
      </c>
      <c r="F11" s="42"/>
      <c r="G11" s="42">
        <f>3300000-C11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>
        <v>1900000</v>
      </c>
      <c r="D24" s="23">
        <f t="shared" si="1"/>
        <v>21.111111111111111</v>
      </c>
      <c r="E24" s="39">
        <f t="shared" si="2"/>
        <v>0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>
        <v>9000000</v>
      </c>
      <c r="D31" s="25">
        <f t="shared" si="1"/>
        <v>100</v>
      </c>
      <c r="E31" s="39">
        <f t="shared" si="2"/>
        <v>0</v>
      </c>
    </row>
    <row r="32" spans="1:5" ht="18.5">
      <c r="A32" s="7"/>
      <c r="B32" s="6" t="s">
        <v>40</v>
      </c>
      <c r="C32" s="41"/>
      <c r="D32" s="25">
        <f t="shared" si="1"/>
        <v>0</v>
      </c>
      <c r="E32" s="39">
        <f t="shared" si="2"/>
        <v>1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11100000</v>
      </c>
      <c r="D37" s="30">
        <f>SUM(D13:D35)</f>
        <v>123.33333333333334</v>
      </c>
    </row>
    <row r="38" spans="1:5" ht="23.5">
      <c r="A38" s="122" t="s">
        <v>22</v>
      </c>
      <c r="B38" s="122"/>
      <c r="C38" s="31"/>
      <c r="D38" s="31">
        <f>'8'!C42</f>
        <v>26676.498555555565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-7800000</v>
      </c>
      <c r="D40" s="30">
        <f>'8'!C42</f>
        <v>26676.498555555565</v>
      </c>
    </row>
    <row r="42" spans="1:5" ht="23.5">
      <c r="B42" s="37" t="s">
        <v>36</v>
      </c>
      <c r="C42" s="44">
        <f>D40+(C40/90000)</f>
        <v>26589.831888888897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0A000000}"/>
  <mergeCells count="10">
    <mergeCell ref="A40:B40"/>
    <mergeCell ref="A43:B43"/>
    <mergeCell ref="A44:D44"/>
    <mergeCell ref="A45:D45"/>
    <mergeCell ref="A46:D46"/>
    <mergeCell ref="A1:B1"/>
    <mergeCell ref="A5:B5"/>
    <mergeCell ref="A12:B12"/>
    <mergeCell ref="A37:B37"/>
    <mergeCell ref="A38:B38"/>
  </mergeCells>
  <hyperlinks>
    <hyperlink ref="D1" location="الرئيسية!A1" display="الصفحة الرئيسية" xr:uid="{00000000-0004-0000-0A00-000000000000}"/>
  </hyperlinks>
  <pageMargins left="0.7" right="0.7" top="0.41" bottom="0.3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6"/>
  <sheetViews>
    <sheetView showGridLines="0" rightToLeft="1" zoomScale="85" zoomScaleNormal="85" workbookViewId="0">
      <selection activeCell="D20" sqref="D20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6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5100000</v>
      </c>
      <c r="D6" s="99">
        <f>C6/90000</f>
        <v>56.666666666666664</v>
      </c>
      <c r="E6" s="107">
        <v>17</v>
      </c>
    </row>
    <row r="7" spans="1:7" ht="21">
      <c r="B7" s="12" t="s">
        <v>28</v>
      </c>
      <c r="C7" s="16">
        <v>17830000</v>
      </c>
      <c r="D7" s="100">
        <f t="shared" ref="D7:D10" si="0">C7/90000</f>
        <v>198.11111111111111</v>
      </c>
      <c r="E7" s="108">
        <f>E11-E6-E8-E9-E10</f>
        <v>83</v>
      </c>
    </row>
    <row r="8" spans="1:7" ht="21">
      <c r="B8" s="12" t="s">
        <v>27</v>
      </c>
      <c r="C8" s="16">
        <v>1250000</v>
      </c>
      <c r="D8" s="100">
        <f t="shared" si="0"/>
        <v>13.888888888888889</v>
      </c>
      <c r="E8" s="109">
        <v>4</v>
      </c>
    </row>
    <row r="9" spans="1:7" ht="21">
      <c r="B9" s="12" t="s">
        <v>33</v>
      </c>
      <c r="C9" s="16">
        <v>8500000</v>
      </c>
      <c r="D9" s="100">
        <f t="shared" si="0"/>
        <v>94.444444444444443</v>
      </c>
      <c r="E9" s="109">
        <v>37</v>
      </c>
    </row>
    <row r="10" spans="1:7" ht="21.5" thickBot="1">
      <c r="B10" s="12" t="s">
        <v>3</v>
      </c>
      <c r="C10" s="18">
        <v>840000</v>
      </c>
      <c r="D10" s="101">
        <f t="shared" si="0"/>
        <v>9.3333333333333339</v>
      </c>
      <c r="E10" s="110">
        <v>6</v>
      </c>
    </row>
    <row r="11" spans="1:7" ht="21">
      <c r="B11" s="12" t="s">
        <v>30</v>
      </c>
      <c r="C11" s="9">
        <f>SUM(C6:C10)</f>
        <v>33520000</v>
      </c>
      <c r="D11" s="9">
        <f>SUM(D6:D10)</f>
        <v>372.44444444444446</v>
      </c>
      <c r="E11" s="9">
        <v>147</v>
      </c>
      <c r="F11" s="42"/>
      <c r="G11" s="42">
        <f>33520000-C11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>
        <f>47*90000</f>
        <v>4230000</v>
      </c>
      <c r="D13" s="29">
        <f>C13/90000</f>
        <v>47</v>
      </c>
      <c r="E13" s="39">
        <f>IF(C13&lt;&gt;0,0,1)</f>
        <v>0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>
        <v>500000</v>
      </c>
      <c r="D16" s="23">
        <f>C16/90000</f>
        <v>5.5555555555555554</v>
      </c>
      <c r="E16" s="39">
        <f t="shared" si="2"/>
        <v>0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>
        <f>55*90000</f>
        <v>4950000</v>
      </c>
      <c r="D19" s="23">
        <f t="shared" si="1"/>
        <v>55</v>
      </c>
      <c r="E19" s="39">
        <f t="shared" si="2"/>
        <v>0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>
        <v>1800000</v>
      </c>
      <c r="D24" s="23">
        <f t="shared" si="1"/>
        <v>20</v>
      </c>
      <c r="E24" s="39">
        <f t="shared" si="2"/>
        <v>0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>
        <v>1350000</v>
      </c>
      <c r="D30" s="25">
        <f t="shared" si="1"/>
        <v>15</v>
      </c>
      <c r="E30" s="39">
        <f t="shared" si="2"/>
        <v>0</v>
      </c>
    </row>
    <row r="31" spans="1:5" ht="18.5">
      <c r="A31" s="7"/>
      <c r="B31" s="6" t="s">
        <v>26</v>
      </c>
      <c r="C31" s="24">
        <f>400*90000</f>
        <v>36000000</v>
      </c>
      <c r="D31" s="25">
        <f t="shared" si="1"/>
        <v>400</v>
      </c>
      <c r="E31" s="39">
        <f t="shared" si="2"/>
        <v>0</v>
      </c>
    </row>
    <row r="32" spans="1:5" ht="18.5">
      <c r="A32" s="7"/>
      <c r="B32" s="6" t="s">
        <v>40</v>
      </c>
      <c r="C32" s="41">
        <v>1470000</v>
      </c>
      <c r="D32" s="25">
        <f t="shared" si="1"/>
        <v>16.333333333333332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50500000</v>
      </c>
      <c r="D37" s="30">
        <f>SUM(D13:D35)</f>
        <v>561.11111111111109</v>
      </c>
    </row>
    <row r="38" spans="1:5" ht="23.5">
      <c r="A38" s="122" t="s">
        <v>22</v>
      </c>
      <c r="B38" s="122"/>
      <c r="C38" s="31"/>
      <c r="D38" s="31">
        <f>'9'!C42</f>
        <v>26589.831888888897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-16980000</v>
      </c>
      <c r="D40" s="30">
        <f>D38</f>
        <v>26589.831888888897</v>
      </c>
    </row>
    <row r="42" spans="1:5" ht="23.5">
      <c r="B42" s="37" t="s">
        <v>36</v>
      </c>
      <c r="C42" s="44">
        <f>D40+(C40/90000)</f>
        <v>26401.165222222229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 t="s">
        <v>111</v>
      </c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0B000000}"/>
  <mergeCells count="10">
    <mergeCell ref="A40:B40"/>
    <mergeCell ref="A43:B43"/>
    <mergeCell ref="A44:D44"/>
    <mergeCell ref="A45:D45"/>
    <mergeCell ref="A46:D46"/>
    <mergeCell ref="A1:B1"/>
    <mergeCell ref="A5:B5"/>
    <mergeCell ref="A12:B12"/>
    <mergeCell ref="A37:B37"/>
    <mergeCell ref="A38:B38"/>
  </mergeCells>
  <hyperlinks>
    <hyperlink ref="D1" location="الرئيسية!A1" display="الصفحة الرئيسية" xr:uid="{00000000-0004-0000-0B00-000000000000}"/>
  </hyperlinks>
  <pageMargins left="0.7" right="0.7" top="0.41" bottom="0.3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6"/>
  <sheetViews>
    <sheetView showGridLines="0" rightToLeft="1" zoomScale="85" zoomScaleNormal="85" workbookViewId="0">
      <selection activeCell="C8" sqref="C8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5350000</v>
      </c>
      <c r="D6" s="99">
        <f>C6/90000</f>
        <v>59.444444444444443</v>
      </c>
      <c r="E6" s="107">
        <v>18</v>
      </c>
    </row>
    <row r="7" spans="1:7" ht="21">
      <c r="B7" s="12" t="s">
        <v>28</v>
      </c>
      <c r="C7" s="16">
        <v>16160000</v>
      </c>
      <c r="D7" s="100">
        <f t="shared" ref="D7:D10" si="0">C7/90000</f>
        <v>179.55555555555554</v>
      </c>
      <c r="E7" s="108">
        <f>E11-E6-E8-E9-E10</f>
        <v>100</v>
      </c>
    </row>
    <row r="8" spans="1:7" ht="21">
      <c r="B8" s="12" t="s">
        <v>27</v>
      </c>
      <c r="C8" s="16">
        <v>4890000</v>
      </c>
      <c r="D8" s="100">
        <f t="shared" si="0"/>
        <v>54.333333333333336</v>
      </c>
      <c r="E8" s="109">
        <v>15</v>
      </c>
    </row>
    <row r="9" spans="1:7" ht="21">
      <c r="B9" s="12" t="s">
        <v>33</v>
      </c>
      <c r="C9" s="16">
        <v>5700000</v>
      </c>
      <c r="D9" s="100">
        <f t="shared" si="0"/>
        <v>63.333333333333336</v>
      </c>
      <c r="E9" s="109">
        <v>27</v>
      </c>
    </row>
    <row r="10" spans="1:7" ht="21.5" thickBot="1">
      <c r="B10" s="12" t="s">
        <v>3</v>
      </c>
      <c r="C10" s="18">
        <v>730000</v>
      </c>
      <c r="D10" s="101">
        <f t="shared" si="0"/>
        <v>8.1111111111111107</v>
      </c>
      <c r="E10" s="110">
        <v>5</v>
      </c>
    </row>
    <row r="11" spans="1:7" ht="21">
      <c r="B11" s="12" t="s">
        <v>30</v>
      </c>
      <c r="C11" s="9">
        <f>SUM(C6:C10)</f>
        <v>32830000</v>
      </c>
      <c r="D11" s="9">
        <f>SUM(D6:D10)</f>
        <v>364.77777777777771</v>
      </c>
      <c r="E11" s="9">
        <v>165</v>
      </c>
      <c r="G11" s="42">
        <f>32830000-C11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100000</v>
      </c>
      <c r="D32" s="25">
        <f t="shared" si="1"/>
        <v>1.1111111111111112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300000</v>
      </c>
      <c r="D37" s="30">
        <f>SUM(D13:D35)</f>
        <v>3.3333333333333335</v>
      </c>
    </row>
    <row r="38" spans="1:5" ht="23.5">
      <c r="A38" s="122" t="s">
        <v>22</v>
      </c>
      <c r="B38" s="122"/>
      <c r="C38" s="31"/>
      <c r="D38" s="31">
        <f>'10'!C42</f>
        <v>26401.165222222229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32530000</v>
      </c>
      <c r="D40" s="30">
        <f>D38</f>
        <v>26401.165222222229</v>
      </c>
    </row>
    <row r="42" spans="1:5" ht="23.5">
      <c r="B42" s="37" t="s">
        <v>36</v>
      </c>
      <c r="C42" s="44">
        <f>D40+(C40/90000)</f>
        <v>26762.609666666674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0C000000}"/>
  <mergeCells count="10">
    <mergeCell ref="A40:B40"/>
    <mergeCell ref="A43:B43"/>
    <mergeCell ref="A44:D44"/>
    <mergeCell ref="A45:D45"/>
    <mergeCell ref="A46:D46"/>
    <mergeCell ref="A1:B1"/>
    <mergeCell ref="A5:B5"/>
    <mergeCell ref="A12:B12"/>
    <mergeCell ref="A37:B37"/>
    <mergeCell ref="A38:B38"/>
  </mergeCells>
  <hyperlinks>
    <hyperlink ref="D1" location="الرئيسية!A1" display="الصفحة الرئيسية" xr:uid="{00000000-0004-0000-0C00-000000000000}"/>
  </hyperlinks>
  <pageMargins left="0.7" right="0.7" top="0.41" bottom="0.3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6"/>
  <sheetViews>
    <sheetView showGridLines="0" rightToLeft="1" zoomScale="85" zoomScaleNormal="85" workbookViewId="0">
      <selection activeCell="A45" sqref="A45:D45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2940000</v>
      </c>
      <c r="D6" s="99">
        <f>C6/90000</f>
        <v>32.666666666666664</v>
      </c>
      <c r="E6" s="107">
        <v>10</v>
      </c>
    </row>
    <row r="7" spans="1:7" ht="21">
      <c r="B7" s="12" t="s">
        <v>28</v>
      </c>
      <c r="C7" s="16">
        <v>13780000</v>
      </c>
      <c r="D7" s="100">
        <f t="shared" ref="D7:D10" si="0">C7/90000</f>
        <v>153.11111111111111</v>
      </c>
      <c r="E7" s="108">
        <f>E11-E6-E8-E9-E10</f>
        <v>61</v>
      </c>
    </row>
    <row r="8" spans="1:7" ht="21">
      <c r="B8" s="12" t="s">
        <v>27</v>
      </c>
      <c r="C8" s="16">
        <v>2260000</v>
      </c>
      <c r="D8" s="100">
        <f t="shared" si="0"/>
        <v>25.111111111111111</v>
      </c>
      <c r="E8" s="109">
        <v>7</v>
      </c>
    </row>
    <row r="9" spans="1:7" ht="21">
      <c r="B9" s="12" t="s">
        <v>33</v>
      </c>
      <c r="C9" s="16">
        <v>5550000</v>
      </c>
      <c r="D9" s="100">
        <f t="shared" si="0"/>
        <v>61.666666666666664</v>
      </c>
      <c r="E9" s="109">
        <v>24</v>
      </c>
    </row>
    <row r="10" spans="1:7" ht="21.5" thickBot="1">
      <c r="B10" s="12" t="s">
        <v>3</v>
      </c>
      <c r="C10" s="18">
        <v>1180000</v>
      </c>
      <c r="D10" s="101">
        <f t="shared" si="0"/>
        <v>13.111111111111111</v>
      </c>
      <c r="E10" s="110">
        <v>8</v>
      </c>
    </row>
    <row r="11" spans="1:7" ht="21">
      <c r="B11" s="12" t="s">
        <v>30</v>
      </c>
      <c r="C11" s="9">
        <f>SUM(C6:C10)</f>
        <v>25710000</v>
      </c>
      <c r="D11" s="9">
        <f>SUM(D6:D10)</f>
        <v>285.66666666666663</v>
      </c>
      <c r="E11" s="9">
        <v>110</v>
      </c>
      <c r="G11" s="42">
        <f>25710000-C11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>
        <v>800000</v>
      </c>
      <c r="D16" s="23">
        <f t="shared" si="1"/>
        <v>8.8888888888888893</v>
      </c>
      <c r="E16" s="39">
        <f t="shared" si="2"/>
        <v>0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>
        <v>900000</v>
      </c>
      <c r="D19" s="23">
        <f t="shared" si="1"/>
        <v>10</v>
      </c>
      <c r="E19" s="39">
        <f t="shared" si="2"/>
        <v>0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>
        <v>670000</v>
      </c>
      <c r="D28" s="25">
        <f t="shared" si="1"/>
        <v>7.4444444444444446</v>
      </c>
      <c r="E28" s="39">
        <f t="shared" si="2"/>
        <v>0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>
        <v>900000</v>
      </c>
      <c r="D30" s="25">
        <f t="shared" si="1"/>
        <v>10</v>
      </c>
      <c r="E30" s="39">
        <f t="shared" si="2"/>
        <v>0</v>
      </c>
    </row>
    <row r="31" spans="1:5" ht="18.5">
      <c r="A31" s="7"/>
      <c r="B31" s="6" t="s">
        <v>26</v>
      </c>
      <c r="C31" s="24">
        <f>80*90000</f>
        <v>7200000</v>
      </c>
      <c r="D31" s="25">
        <f t="shared" si="1"/>
        <v>80</v>
      </c>
      <c r="E31" s="39">
        <f t="shared" si="2"/>
        <v>0</v>
      </c>
    </row>
    <row r="32" spans="1:5" ht="18.5">
      <c r="A32" s="7"/>
      <c r="B32" s="6" t="s">
        <v>40</v>
      </c>
      <c r="C32" s="41">
        <v>1000000</v>
      </c>
      <c r="D32" s="25">
        <f t="shared" si="1"/>
        <v>11.111111111111111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>
        <f>220*90000</f>
        <v>19800000</v>
      </c>
      <c r="D35" s="27">
        <f t="shared" si="1"/>
        <v>220</v>
      </c>
      <c r="E35" s="39">
        <f t="shared" si="2"/>
        <v>0</v>
      </c>
    </row>
    <row r="37" spans="1:5" ht="23.5">
      <c r="A37" s="122" t="s">
        <v>21</v>
      </c>
      <c r="B37" s="122"/>
      <c r="C37" s="30">
        <f>SUM(C13:C35)</f>
        <v>31470000</v>
      </c>
      <c r="D37" s="30">
        <f>SUM(D13:D35)</f>
        <v>349.66666666666669</v>
      </c>
    </row>
    <row r="38" spans="1:5" ht="23.5">
      <c r="A38" s="122" t="s">
        <v>22</v>
      </c>
      <c r="B38" s="122"/>
      <c r="C38" s="31"/>
      <c r="D38" s="31">
        <f>'11'!C42</f>
        <v>26762.609666666674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-5760000</v>
      </c>
      <c r="D40" s="30">
        <f>D38</f>
        <v>26762.609666666674</v>
      </c>
    </row>
    <row r="42" spans="1:5" ht="23.5">
      <c r="B42" s="37" t="s">
        <v>36</v>
      </c>
      <c r="C42" s="44">
        <f>D40+(C40/90000)</f>
        <v>26698.609666666674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 t="s">
        <v>112</v>
      </c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0D000000}"/>
  <mergeCells count="10">
    <mergeCell ref="A40:B40"/>
    <mergeCell ref="A43:B43"/>
    <mergeCell ref="A44:D44"/>
    <mergeCell ref="A45:D45"/>
    <mergeCell ref="A46:D46"/>
    <mergeCell ref="A1:B1"/>
    <mergeCell ref="A5:B5"/>
    <mergeCell ref="A12:B12"/>
    <mergeCell ref="A37:B37"/>
    <mergeCell ref="A38:B38"/>
  </mergeCells>
  <hyperlinks>
    <hyperlink ref="D1" location="الرئيسية!A1" display="الصفحة الرئيسية" xr:uid="{00000000-0004-0000-0D00-000000000000}"/>
  </hyperlinks>
  <pageMargins left="0.7" right="0.7" top="0.41" bottom="0.3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6"/>
  <sheetViews>
    <sheetView showGridLines="0" rightToLeft="1" zoomScale="85" zoomScaleNormal="85" workbookViewId="0">
      <selection activeCell="C17" sqref="C17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1500000</v>
      </c>
      <c r="D6" s="99">
        <f>C6/90000</f>
        <v>16.666666666666668</v>
      </c>
      <c r="E6" s="107">
        <v>5</v>
      </c>
    </row>
    <row r="7" spans="1:7" ht="21">
      <c r="B7" s="12" t="s">
        <v>28</v>
      </c>
      <c r="C7" s="16">
        <v>4810000</v>
      </c>
      <c r="D7" s="100">
        <f t="shared" ref="D7:D10" si="0">C7/90000</f>
        <v>53.444444444444443</v>
      </c>
      <c r="E7" s="108">
        <f>E11-E6-E8-E9-E10</f>
        <v>33</v>
      </c>
    </row>
    <row r="8" spans="1:7" ht="21">
      <c r="B8" s="12" t="s">
        <v>27</v>
      </c>
      <c r="C8" s="16">
        <v>1790000</v>
      </c>
      <c r="D8" s="100">
        <f t="shared" si="0"/>
        <v>19.888888888888889</v>
      </c>
      <c r="E8" s="109">
        <v>5</v>
      </c>
    </row>
    <row r="9" spans="1:7" ht="21">
      <c r="B9" s="12" t="s">
        <v>33</v>
      </c>
      <c r="C9" s="16">
        <v>2750000</v>
      </c>
      <c r="D9" s="100">
        <f t="shared" si="0"/>
        <v>30.555555555555557</v>
      </c>
      <c r="E9" s="109">
        <v>11</v>
      </c>
    </row>
    <row r="10" spans="1:7" ht="21.5" thickBot="1">
      <c r="B10" s="12" t="s">
        <v>3</v>
      </c>
      <c r="C10" s="18">
        <v>150000</v>
      </c>
      <c r="D10" s="101">
        <f t="shared" si="0"/>
        <v>1.6666666666666667</v>
      </c>
      <c r="E10" s="110">
        <v>1</v>
      </c>
    </row>
    <row r="11" spans="1:7" ht="21">
      <c r="B11" s="12" t="s">
        <v>30</v>
      </c>
      <c r="C11" s="9">
        <f>SUM(C6:C10)</f>
        <v>11000000</v>
      </c>
      <c r="D11" s="9">
        <f>SUM(D6:D10)</f>
        <v>122.22222222222223</v>
      </c>
      <c r="E11" s="9">
        <v>55</v>
      </c>
      <c r="G11" s="42">
        <f>11000000-C11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>
        <v>2000000</v>
      </c>
      <c r="D16" s="23">
        <f t="shared" si="1"/>
        <v>22.222222222222221</v>
      </c>
      <c r="E16" s="39">
        <f t="shared" si="2"/>
        <v>0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/>
      <c r="D32" s="25">
        <f t="shared" si="1"/>
        <v>0</v>
      </c>
      <c r="E32" s="39">
        <f t="shared" si="2"/>
        <v>1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2200000</v>
      </c>
      <c r="D37" s="30">
        <f>SUM(D13:D35)</f>
        <v>24.444444444444443</v>
      </c>
    </row>
    <row r="38" spans="1:5" ht="23.5">
      <c r="A38" s="122" t="s">
        <v>22</v>
      </c>
      <c r="B38" s="122"/>
      <c r="C38" s="31"/>
      <c r="D38" s="31">
        <f>'12'!C42</f>
        <v>26698.609666666674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8800000</v>
      </c>
      <c r="D40" s="30">
        <f>D38</f>
        <v>26698.609666666674</v>
      </c>
    </row>
    <row r="42" spans="1:5" ht="23.5">
      <c r="B42" s="37" t="s">
        <v>36</v>
      </c>
      <c r="C42" s="44">
        <f>D40+(C40/90000)</f>
        <v>26796.387444444452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0E000000}"/>
  <mergeCells count="10">
    <mergeCell ref="A40:B40"/>
    <mergeCell ref="A43:B43"/>
    <mergeCell ref="A44:D44"/>
    <mergeCell ref="A45:D45"/>
    <mergeCell ref="A46:D46"/>
    <mergeCell ref="A1:B1"/>
    <mergeCell ref="A5:B5"/>
    <mergeCell ref="A12:B12"/>
    <mergeCell ref="A37:B37"/>
    <mergeCell ref="A38:B38"/>
  </mergeCells>
  <hyperlinks>
    <hyperlink ref="D1" location="الرئيسية!A1" display="الصفحة الرئيسية" xr:uid="{00000000-0004-0000-0E00-000000000000}"/>
  </hyperlinks>
  <pageMargins left="0.7" right="0.7" top="0.41" bottom="0.3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6"/>
  <sheetViews>
    <sheetView showGridLines="0" rightToLeft="1" zoomScale="85" zoomScaleNormal="85" workbookViewId="0">
      <selection activeCell="C28" sqref="C28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2100000</v>
      </c>
      <c r="D6" s="99">
        <f>C6/90000</f>
        <v>23.333333333333332</v>
      </c>
      <c r="E6" s="107">
        <v>7</v>
      </c>
    </row>
    <row r="7" spans="1:7" ht="21">
      <c r="B7" s="12" t="s">
        <v>28</v>
      </c>
      <c r="C7" s="16">
        <v>4510000</v>
      </c>
      <c r="D7" s="100">
        <f t="shared" ref="D7:D10" si="0">C7/90000</f>
        <v>50.111111111111114</v>
      </c>
      <c r="E7" s="108">
        <f>E11-E6-E8-E9-E10</f>
        <v>25</v>
      </c>
    </row>
    <row r="8" spans="1:7" ht="21">
      <c r="B8" s="12" t="s">
        <v>27</v>
      </c>
      <c r="C8" s="16">
        <v>2850000</v>
      </c>
      <c r="D8" s="100">
        <f t="shared" si="0"/>
        <v>31.666666666666668</v>
      </c>
      <c r="E8" s="109">
        <v>9</v>
      </c>
    </row>
    <row r="9" spans="1:7" ht="21">
      <c r="B9" s="12" t="s">
        <v>33</v>
      </c>
      <c r="C9" s="16">
        <v>3900000</v>
      </c>
      <c r="D9" s="100">
        <f t="shared" si="0"/>
        <v>43.333333333333336</v>
      </c>
      <c r="E9" s="109">
        <v>18</v>
      </c>
    </row>
    <row r="10" spans="1:7" ht="21.5" thickBot="1">
      <c r="B10" s="12" t="s">
        <v>3</v>
      </c>
      <c r="C10" s="18"/>
      <c r="D10" s="101">
        <f t="shared" si="0"/>
        <v>0</v>
      </c>
      <c r="E10" s="110"/>
    </row>
    <row r="11" spans="1:7" ht="21">
      <c r="B11" s="12" t="s">
        <v>30</v>
      </c>
      <c r="C11" s="9">
        <f>SUM(C6:C10)</f>
        <v>13360000</v>
      </c>
      <c r="D11" s="9">
        <f>SUM(D6:D10)</f>
        <v>148.44444444444446</v>
      </c>
      <c r="E11" s="9">
        <v>59</v>
      </c>
      <c r="G11" s="42">
        <f>13360000-C11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>
        <v>550000</v>
      </c>
      <c r="D24" s="23">
        <f t="shared" si="1"/>
        <v>6.1111111111111107</v>
      </c>
      <c r="E24" s="39">
        <f t="shared" si="2"/>
        <v>0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>
        <v>900000</v>
      </c>
      <c r="D27" s="25">
        <f t="shared" si="1"/>
        <v>10</v>
      </c>
      <c r="E27" s="39">
        <f t="shared" si="2"/>
        <v>0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>
        <f>24*90000</f>
        <v>2160000</v>
      </c>
      <c r="D30" s="25">
        <f t="shared" si="1"/>
        <v>24</v>
      </c>
      <c r="E30" s="39">
        <f t="shared" si="2"/>
        <v>0</v>
      </c>
    </row>
    <row r="31" spans="1:5" ht="18.5">
      <c r="A31" s="7"/>
      <c r="B31" s="6" t="s">
        <v>26</v>
      </c>
      <c r="C31" s="24">
        <f>186*90000</f>
        <v>16740000</v>
      </c>
      <c r="D31" s="25">
        <f t="shared" si="1"/>
        <v>186</v>
      </c>
      <c r="E31" s="39">
        <f t="shared" si="2"/>
        <v>0</v>
      </c>
    </row>
    <row r="32" spans="1:5" ht="18.5">
      <c r="A32" s="7"/>
      <c r="B32" s="6" t="s">
        <v>40</v>
      </c>
      <c r="C32" s="41">
        <v>100000</v>
      </c>
      <c r="D32" s="25">
        <f t="shared" si="1"/>
        <v>1.1111111111111112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20650000</v>
      </c>
      <c r="D37" s="30">
        <f>SUM(D13:D35)</f>
        <v>229.44444444444446</v>
      </c>
    </row>
    <row r="38" spans="1:5" ht="23.5">
      <c r="A38" s="122" t="s">
        <v>22</v>
      </c>
      <c r="B38" s="122"/>
      <c r="C38" s="31"/>
      <c r="D38" s="31">
        <f>'13'!C42</f>
        <v>26796.387444444452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-7290000</v>
      </c>
      <c r="D40" s="30">
        <f>D38</f>
        <v>26796.387444444452</v>
      </c>
    </row>
    <row r="42" spans="1:5" ht="23.5">
      <c r="B42" s="37" t="s">
        <v>36</v>
      </c>
      <c r="C42" s="44">
        <f>D40+(C40/90000)</f>
        <v>26715.387444444452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 t="s">
        <v>113</v>
      </c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0F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0F00-000000000000}"/>
  </hyperlinks>
  <pageMargins left="0.7" right="0.7" top="0.41" bottom="0.3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6"/>
  <sheetViews>
    <sheetView showGridLines="0" rightToLeft="1" topLeftCell="A2" zoomScale="85" zoomScaleNormal="85" workbookViewId="0">
      <selection activeCell="C22" sqref="C22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3300000</v>
      </c>
      <c r="D6" s="99">
        <f>C6/90000</f>
        <v>36.666666666666664</v>
      </c>
      <c r="E6" s="107">
        <v>11</v>
      </c>
    </row>
    <row r="7" spans="1:7" ht="21">
      <c r="B7" s="12" t="s">
        <v>28</v>
      </c>
      <c r="C7" s="16">
        <v>10890000</v>
      </c>
      <c r="D7" s="100">
        <f t="shared" ref="D7:D10" si="0">C7/90000</f>
        <v>121</v>
      </c>
      <c r="E7" s="108">
        <f>E11-E6-E8-E9-E10</f>
        <v>54</v>
      </c>
    </row>
    <row r="8" spans="1:7" ht="21">
      <c r="B8" s="12" t="s">
        <v>27</v>
      </c>
      <c r="C8" s="16">
        <v>1940000</v>
      </c>
      <c r="D8" s="100">
        <f t="shared" si="0"/>
        <v>21.555555555555557</v>
      </c>
      <c r="E8" s="109">
        <v>6</v>
      </c>
    </row>
    <row r="9" spans="1:7" ht="21">
      <c r="B9" s="12" t="s">
        <v>33</v>
      </c>
      <c r="C9" s="16">
        <v>3250000</v>
      </c>
      <c r="D9" s="100">
        <f t="shared" si="0"/>
        <v>36.111111111111114</v>
      </c>
      <c r="E9" s="109">
        <v>13</v>
      </c>
    </row>
    <row r="10" spans="1:7" ht="21.5" thickBot="1">
      <c r="B10" s="12" t="s">
        <v>3</v>
      </c>
      <c r="C10" s="18"/>
      <c r="D10" s="101">
        <f t="shared" si="0"/>
        <v>0</v>
      </c>
      <c r="E10" s="110"/>
    </row>
    <row r="11" spans="1:7" ht="21">
      <c r="B11" s="12" t="s">
        <v>30</v>
      </c>
      <c r="C11" s="9">
        <f>SUM(C6:C10)</f>
        <v>19380000</v>
      </c>
      <c r="D11" s="9">
        <f>SUM(D6:D10)</f>
        <v>215.33333333333334</v>
      </c>
      <c r="E11" s="9">
        <v>84</v>
      </c>
      <c r="G11" s="42">
        <f>19380000-C11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>
        <v>400000</v>
      </c>
      <c r="D16" s="23">
        <f t="shared" si="1"/>
        <v>4.4444444444444446</v>
      </c>
      <c r="E16" s="39">
        <f t="shared" si="2"/>
        <v>0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>
        <v>1620000</v>
      </c>
      <c r="D21" s="23">
        <f t="shared" si="1"/>
        <v>18</v>
      </c>
      <c r="E21" s="39">
        <f t="shared" si="2"/>
        <v>0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200000</v>
      </c>
      <c r="D32" s="25">
        <f t="shared" si="1"/>
        <v>2.2222222222222223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2420000</v>
      </c>
      <c r="D37" s="30">
        <f>SUM(D13:D35)</f>
        <v>26.888888888888886</v>
      </c>
    </row>
    <row r="38" spans="1:5" ht="23.5">
      <c r="A38" s="122" t="s">
        <v>22</v>
      </c>
      <c r="B38" s="122"/>
      <c r="C38" s="31"/>
      <c r="D38" s="31">
        <f>'14'!C42</f>
        <v>26715.387444444452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16960000</v>
      </c>
      <c r="D40" s="30">
        <f>D38</f>
        <v>26715.387444444452</v>
      </c>
    </row>
    <row r="42" spans="1:5" ht="23.5">
      <c r="B42" s="37" t="s">
        <v>36</v>
      </c>
      <c r="C42" s="44">
        <f>D40+(C40/90000)</f>
        <v>26903.831888888897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0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000-000000000000}"/>
  </hyperlinks>
  <pageMargins left="0.7" right="0.7" top="0.41" bottom="0.3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6"/>
  <sheetViews>
    <sheetView showGridLines="0" rightToLeft="1" topLeftCell="A10" zoomScale="85" zoomScaleNormal="85" workbookViewId="0">
      <selection activeCell="C18" sqref="C18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3000000</v>
      </c>
      <c r="D6" s="99">
        <f>C6/90000</f>
        <v>33.333333333333336</v>
      </c>
      <c r="E6" s="107">
        <v>10</v>
      </c>
    </row>
    <row r="7" spans="1:7" ht="21">
      <c r="B7" s="12" t="s">
        <v>28</v>
      </c>
      <c r="C7" s="16">
        <v>12110000</v>
      </c>
      <c r="D7" s="100">
        <f t="shared" ref="D7:D10" si="0">C7/90000</f>
        <v>134.55555555555554</v>
      </c>
      <c r="E7" s="108">
        <f>E11-E6-E8-E9-E10</f>
        <v>60</v>
      </c>
    </row>
    <row r="8" spans="1:7" ht="21">
      <c r="B8" s="12" t="s">
        <v>27</v>
      </c>
      <c r="C8" s="16">
        <v>4180000</v>
      </c>
      <c r="D8" s="100">
        <f t="shared" si="0"/>
        <v>46.444444444444443</v>
      </c>
      <c r="E8" s="109">
        <v>13</v>
      </c>
    </row>
    <row r="9" spans="1:7" ht="21">
      <c r="B9" s="12" t="s">
        <v>33</v>
      </c>
      <c r="C9" s="16">
        <v>4400000</v>
      </c>
      <c r="D9" s="100">
        <f t="shared" si="0"/>
        <v>48.888888888888886</v>
      </c>
      <c r="E9" s="109">
        <v>20</v>
      </c>
    </row>
    <row r="10" spans="1:7" ht="21.5" thickBot="1">
      <c r="B10" s="12" t="s">
        <v>3</v>
      </c>
      <c r="C10" s="18">
        <v>150000</v>
      </c>
      <c r="D10" s="101">
        <f t="shared" si="0"/>
        <v>1.6666666666666667</v>
      </c>
      <c r="E10" s="110">
        <v>1</v>
      </c>
    </row>
    <row r="11" spans="1:7" ht="21">
      <c r="B11" s="12" t="s">
        <v>30</v>
      </c>
      <c r="C11" s="9">
        <f>SUM(C6:C10)</f>
        <v>23840000</v>
      </c>
      <c r="D11" s="9">
        <f>SUM(D6:D10)</f>
        <v>264.88888888888886</v>
      </c>
      <c r="E11" s="9">
        <v>104</v>
      </c>
      <c r="G11" s="42">
        <f>23840000-C11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>
        <v>1800000</v>
      </c>
      <c r="D17" s="23">
        <f t="shared" si="1"/>
        <v>20</v>
      </c>
      <c r="E17" s="39">
        <f t="shared" si="2"/>
        <v>0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>
        <v>9000000</v>
      </c>
      <c r="D30" s="25">
        <f t="shared" si="1"/>
        <v>100</v>
      </c>
      <c r="E30" s="39">
        <f t="shared" si="2"/>
        <v>0</v>
      </c>
    </row>
    <row r="31" spans="1:5" ht="18.5">
      <c r="A31" s="7"/>
      <c r="B31" s="6" t="s">
        <v>26</v>
      </c>
      <c r="C31" s="24">
        <f>220*90000</f>
        <v>19800000</v>
      </c>
      <c r="D31" s="25">
        <f t="shared" si="1"/>
        <v>220</v>
      </c>
      <c r="E31" s="39">
        <f t="shared" si="2"/>
        <v>0</v>
      </c>
    </row>
    <row r="32" spans="1:5" ht="18.5">
      <c r="A32" s="7"/>
      <c r="B32" s="6" t="s">
        <v>40</v>
      </c>
      <c r="C32" s="41">
        <v>400000</v>
      </c>
      <c r="D32" s="25">
        <f t="shared" si="1"/>
        <v>4.4444444444444446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31200000</v>
      </c>
      <c r="D37" s="30">
        <f>SUM(D13:D35)</f>
        <v>346.66666666666669</v>
      </c>
    </row>
    <row r="38" spans="1:5" ht="23.5">
      <c r="A38" s="122" t="s">
        <v>22</v>
      </c>
      <c r="B38" s="122"/>
      <c r="C38" s="31"/>
      <c r="D38" s="31">
        <f>'15'!C42</f>
        <v>26903.831888888897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-7360000</v>
      </c>
      <c r="D40" s="30">
        <f>D38</f>
        <v>26903.831888888897</v>
      </c>
    </row>
    <row r="42" spans="1:5" ht="23.5">
      <c r="B42" s="37" t="s">
        <v>36</v>
      </c>
      <c r="C42" s="44">
        <f>D40+(C40/90000)</f>
        <v>26822.05411111112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 t="s">
        <v>114</v>
      </c>
      <c r="B44" s="119"/>
      <c r="C44" s="119"/>
      <c r="D44" s="119"/>
    </row>
    <row r="45" spans="1:5" ht="18.5">
      <c r="A45" s="119" t="s">
        <v>115</v>
      </c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1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100-000000000000}"/>
  </hyperlinks>
  <pageMargins left="0.7" right="0.7" top="0.41" bottom="0.3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6"/>
  <sheetViews>
    <sheetView showGridLines="0" rightToLeft="1" zoomScale="85" zoomScaleNormal="85" workbookViewId="0">
      <selection activeCell="C17" sqref="C17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6" max="6" width="10.36328125" bestFit="1" customWidth="1"/>
    <col min="7" max="7" width="11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6660000</v>
      </c>
      <c r="D6" s="99">
        <f>C6/90000</f>
        <v>74</v>
      </c>
      <c r="E6" s="107">
        <v>23</v>
      </c>
    </row>
    <row r="7" spans="1:7" ht="21">
      <c r="B7" s="12" t="s">
        <v>28</v>
      </c>
      <c r="C7" s="16">
        <v>22180000</v>
      </c>
      <c r="D7" s="100">
        <f t="shared" ref="D7:D10" si="0">C7/90000</f>
        <v>246.44444444444446</v>
      </c>
      <c r="E7" s="108">
        <f>E11-E6-E8-E9-E10</f>
        <v>131</v>
      </c>
    </row>
    <row r="8" spans="1:7" ht="21">
      <c r="B8" s="12" t="s">
        <v>27</v>
      </c>
      <c r="C8" s="16">
        <v>5780000</v>
      </c>
      <c r="D8" s="100">
        <f t="shared" si="0"/>
        <v>64.222222222222229</v>
      </c>
      <c r="E8" s="109">
        <v>18</v>
      </c>
    </row>
    <row r="9" spans="1:7" ht="21">
      <c r="B9" s="12" t="s">
        <v>33</v>
      </c>
      <c r="C9" s="16">
        <v>14500000</v>
      </c>
      <c r="D9" s="100">
        <f t="shared" si="0"/>
        <v>161.11111111111111</v>
      </c>
      <c r="E9" s="109">
        <v>67</v>
      </c>
    </row>
    <row r="10" spans="1:7" ht="21.5" thickBot="1">
      <c r="B10" s="12" t="s">
        <v>3</v>
      </c>
      <c r="C10" s="18">
        <v>440000</v>
      </c>
      <c r="D10" s="101">
        <f t="shared" si="0"/>
        <v>4.8888888888888893</v>
      </c>
      <c r="E10" s="110">
        <v>3</v>
      </c>
    </row>
    <row r="11" spans="1:7" ht="21">
      <c r="B11" s="12" t="s">
        <v>30</v>
      </c>
      <c r="C11" s="9">
        <f>SUM(C6:C10)</f>
        <v>49560000</v>
      </c>
      <c r="D11" s="9">
        <f>SUM(D6:D10)</f>
        <v>550.66666666666674</v>
      </c>
      <c r="E11" s="9">
        <v>242</v>
      </c>
      <c r="F11" s="42"/>
      <c r="G11" s="42">
        <f>49560000-C11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>
        <v>500000</v>
      </c>
      <c r="D16" s="23">
        <f t="shared" si="1"/>
        <v>5.5555555555555554</v>
      </c>
      <c r="E16" s="39">
        <f t="shared" si="2"/>
        <v>0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/>
      <c r="D32" s="25">
        <f t="shared" si="1"/>
        <v>0</v>
      </c>
      <c r="E32" s="39">
        <f t="shared" si="2"/>
        <v>1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700000</v>
      </c>
      <c r="D37" s="30">
        <f>SUM(D13:D35)</f>
        <v>7.7777777777777777</v>
      </c>
    </row>
    <row r="38" spans="1:5" ht="23.5">
      <c r="A38" s="122" t="s">
        <v>22</v>
      </c>
      <c r="B38" s="122"/>
      <c r="C38" s="31"/>
      <c r="D38" s="31">
        <f>'16'!C42</f>
        <v>26822.05411111112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48860000</v>
      </c>
      <c r="D40" s="30">
        <f>D38</f>
        <v>26822.05411111112</v>
      </c>
    </row>
    <row r="42" spans="1:5" ht="23.5">
      <c r="B42" s="37" t="s">
        <v>36</v>
      </c>
      <c r="C42" s="44">
        <f>D40+(C40/90000)</f>
        <v>27364.94300000001</v>
      </c>
      <c r="D42" s="8">
        <v>12370</v>
      </c>
      <c r="E42" s="42">
        <f>D42-C42</f>
        <v>-14994.94300000001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2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200-000000000000}"/>
  </hyperlinks>
  <pageMargins left="0.7" right="0.7" top="0.41" bottom="0.3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6"/>
  <sheetViews>
    <sheetView showGridLines="0" rightToLeft="1" zoomScale="85" zoomScaleNormal="85" workbookViewId="0">
      <selection activeCell="E14" sqref="E14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6130000</v>
      </c>
      <c r="D6" s="99">
        <f>C6/90000</f>
        <v>68.111111111111114</v>
      </c>
      <c r="E6" s="107">
        <v>21</v>
      </c>
    </row>
    <row r="7" spans="1:7" ht="21">
      <c r="B7" s="12" t="s">
        <v>28</v>
      </c>
      <c r="C7" s="16">
        <v>20250000</v>
      </c>
      <c r="D7" s="100">
        <f t="shared" ref="D7:D10" si="0">C7/90000</f>
        <v>225</v>
      </c>
      <c r="E7" s="108">
        <f>E11-E6-E8-E9-E10</f>
        <v>110</v>
      </c>
    </row>
    <row r="8" spans="1:7" ht="21">
      <c r="B8" s="12" t="s">
        <v>27</v>
      </c>
      <c r="C8" s="16">
        <v>1730000</v>
      </c>
      <c r="D8" s="100">
        <f t="shared" si="0"/>
        <v>19.222222222222221</v>
      </c>
      <c r="E8" s="109">
        <v>16</v>
      </c>
    </row>
    <row r="9" spans="1:7" ht="21">
      <c r="B9" s="12" t="s">
        <v>33</v>
      </c>
      <c r="C9" s="16">
        <v>8200000</v>
      </c>
      <c r="D9" s="100">
        <f t="shared" si="0"/>
        <v>91.111111111111114</v>
      </c>
      <c r="E9" s="109">
        <v>37</v>
      </c>
    </row>
    <row r="10" spans="1:7" ht="21.5" thickBot="1">
      <c r="B10" s="12" t="s">
        <v>3</v>
      </c>
      <c r="C10" s="18"/>
      <c r="D10" s="101">
        <f t="shared" si="0"/>
        <v>0</v>
      </c>
      <c r="E10" s="110"/>
    </row>
    <row r="11" spans="1:7" ht="21">
      <c r="B11" s="12" t="s">
        <v>30</v>
      </c>
      <c r="C11" s="9">
        <f>SUM(C6:C10)</f>
        <v>36310000</v>
      </c>
      <c r="D11" s="9">
        <f>SUM(D6:D10)</f>
        <v>403.44444444444446</v>
      </c>
      <c r="E11" s="9">
        <v>184</v>
      </c>
      <c r="G11" s="42">
        <f>36310000-C11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>
        <f>53*90000</f>
        <v>4770000</v>
      </c>
      <c r="D13" s="29">
        <f>C13/90000</f>
        <v>53</v>
      </c>
      <c r="E13" s="39">
        <f>IF(C13&lt;&gt;0,0,1)</f>
        <v>0</v>
      </c>
    </row>
    <row r="14" spans="1:7" ht="18.5">
      <c r="A14" s="2"/>
      <c r="B14" s="3" t="s">
        <v>6</v>
      </c>
      <c r="C14" s="20">
        <f>595*90000</f>
        <v>53550000</v>
      </c>
      <c r="D14" s="21">
        <f t="shared" ref="D14:D35" si="1">C14/90000</f>
        <v>595</v>
      </c>
      <c r="E14" s="39">
        <f t="shared" ref="E14:E35" si="2">IF(C14&lt;&gt;0,0,1)</f>
        <v>0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>
        <v>1700000</v>
      </c>
      <c r="D16" s="23">
        <f t="shared" si="1"/>
        <v>18.888888888888889</v>
      </c>
      <c r="E16" s="39">
        <f t="shared" si="2"/>
        <v>0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>
        <v>1800000</v>
      </c>
      <c r="D21" s="23">
        <f t="shared" si="1"/>
        <v>20</v>
      </c>
      <c r="E21" s="39">
        <f t="shared" si="2"/>
        <v>0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>
        <v>270000</v>
      </c>
      <c r="D26" s="25">
        <f t="shared" si="1"/>
        <v>3</v>
      </c>
      <c r="E26" s="39">
        <f t="shared" si="2"/>
        <v>0</v>
      </c>
    </row>
    <row r="27" spans="1:5" ht="18.5">
      <c r="A27" s="7"/>
      <c r="B27" s="6" t="s">
        <v>20</v>
      </c>
      <c r="C27" s="24">
        <v>3600000</v>
      </c>
      <c r="D27" s="25">
        <f t="shared" si="1"/>
        <v>40</v>
      </c>
      <c r="E27" s="39">
        <f t="shared" si="2"/>
        <v>0</v>
      </c>
    </row>
    <row r="28" spans="1:5" ht="18.5">
      <c r="A28" s="7"/>
      <c r="B28" s="6" t="s">
        <v>3</v>
      </c>
      <c r="C28" s="24">
        <v>700000</v>
      </c>
      <c r="D28" s="25">
        <f t="shared" si="1"/>
        <v>7.7777777777777777</v>
      </c>
      <c r="E28" s="39">
        <f t="shared" si="2"/>
        <v>0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>
        <f>75*90000</f>
        <v>6750000</v>
      </c>
      <c r="D31" s="25">
        <f t="shared" si="1"/>
        <v>75</v>
      </c>
      <c r="E31" s="39">
        <f t="shared" si="2"/>
        <v>0</v>
      </c>
    </row>
    <row r="32" spans="1:5" ht="18.5">
      <c r="A32" s="7"/>
      <c r="B32" s="6" t="s">
        <v>40</v>
      </c>
      <c r="C32" s="41">
        <v>2200000</v>
      </c>
      <c r="D32" s="25">
        <f t="shared" si="1"/>
        <v>24.444444444444443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75540000</v>
      </c>
      <c r="D37" s="30">
        <f>SUM(D13:D35)</f>
        <v>839.33333333333337</v>
      </c>
    </row>
    <row r="38" spans="1:5" ht="23.5">
      <c r="A38" s="122" t="s">
        <v>22</v>
      </c>
      <c r="B38" s="122"/>
      <c r="C38" s="31"/>
      <c r="D38" s="31">
        <f>'17'!C42</f>
        <v>27364.94300000001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-39230000</v>
      </c>
      <c r="D40" s="30">
        <f>D38</f>
        <v>27364.94300000001</v>
      </c>
    </row>
    <row r="42" spans="1:5" ht="23.5">
      <c r="B42" s="37" t="s">
        <v>36</v>
      </c>
      <c r="C42" s="44">
        <f>D40+(C40/90000)</f>
        <v>26929.05411111112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3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300-000000000000}"/>
  </hyperlinks>
  <pageMargins left="0.7" right="0.7" top="0.41" bottom="0.3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46"/>
  <sheetViews>
    <sheetView showGridLines="0" rightToLeft="1" zoomScale="85" zoomScaleNormal="85" workbookViewId="0">
      <selection activeCell="C31" sqref="C31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1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5950000</v>
      </c>
      <c r="D6" s="99">
        <f>C6/90000</f>
        <v>66.111111111111114</v>
      </c>
      <c r="E6" s="107">
        <v>20</v>
      </c>
    </row>
    <row r="7" spans="1:7" ht="21">
      <c r="B7" s="12" t="s">
        <v>28</v>
      </c>
      <c r="C7" s="16">
        <v>12650000</v>
      </c>
      <c r="D7" s="100">
        <f t="shared" ref="D7:D10" si="0">C7/90000</f>
        <v>140.55555555555554</v>
      </c>
      <c r="E7" s="108">
        <f>E11-E6-E8-E9-E10</f>
        <v>73</v>
      </c>
    </row>
    <row r="8" spans="1:7" ht="21">
      <c r="B8" s="12" t="s">
        <v>27</v>
      </c>
      <c r="C8" s="16">
        <v>4510000</v>
      </c>
      <c r="D8" s="100">
        <f t="shared" si="0"/>
        <v>50.111111111111114</v>
      </c>
      <c r="E8" s="109">
        <v>14</v>
      </c>
    </row>
    <row r="9" spans="1:7" ht="21">
      <c r="B9" s="12" t="s">
        <v>33</v>
      </c>
      <c r="C9" s="16">
        <v>6550000</v>
      </c>
      <c r="D9" s="100">
        <f t="shared" si="0"/>
        <v>72.777777777777771</v>
      </c>
      <c r="E9" s="109">
        <v>31</v>
      </c>
    </row>
    <row r="10" spans="1:7" ht="21.5" thickBot="1">
      <c r="B10" s="12" t="s">
        <v>3</v>
      </c>
      <c r="C10" s="18">
        <v>140000</v>
      </c>
      <c r="D10" s="101">
        <f t="shared" si="0"/>
        <v>1.5555555555555556</v>
      </c>
      <c r="E10" s="110">
        <v>1</v>
      </c>
    </row>
    <row r="11" spans="1:7" ht="21">
      <c r="B11" s="12" t="s">
        <v>30</v>
      </c>
      <c r="C11" s="9">
        <f>SUM(C6:C10)</f>
        <v>29800000</v>
      </c>
      <c r="D11" s="9">
        <f>SUM(D6:D10)</f>
        <v>331.11111111111109</v>
      </c>
      <c r="E11" s="9">
        <v>139</v>
      </c>
      <c r="G11" s="42">
        <f>29800000-C11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>
        <v>300000</v>
      </c>
      <c r="D16" s="23">
        <f t="shared" si="1"/>
        <v>3.3333333333333335</v>
      </c>
      <c r="E16" s="39">
        <f t="shared" si="2"/>
        <v>0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>
        <f>108*90000</f>
        <v>9720000</v>
      </c>
      <c r="D19" s="23">
        <f t="shared" si="1"/>
        <v>108</v>
      </c>
      <c r="E19" s="39">
        <f t="shared" si="2"/>
        <v>0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>
        <f>223*90000</f>
        <v>20070000</v>
      </c>
      <c r="D30" s="25">
        <f t="shared" si="1"/>
        <v>223</v>
      </c>
      <c r="E30" s="39">
        <f t="shared" si="2"/>
        <v>0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450000</v>
      </c>
      <c r="D32" s="25">
        <f t="shared" si="1"/>
        <v>5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30740000</v>
      </c>
      <c r="D37" s="30">
        <f>SUM(D13:D35)</f>
        <v>341.55555555555554</v>
      </c>
    </row>
    <row r="38" spans="1:5" ht="23.5">
      <c r="A38" s="122" t="s">
        <v>22</v>
      </c>
      <c r="B38" s="122"/>
      <c r="C38" s="31"/>
      <c r="D38" s="31">
        <f>'18'!C42</f>
        <v>26929.05411111112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-940000</v>
      </c>
      <c r="D40" s="30">
        <f>D38</f>
        <v>26929.05411111112</v>
      </c>
    </row>
    <row r="42" spans="1:5" ht="23.5">
      <c r="B42" s="37" t="s">
        <v>36</v>
      </c>
      <c r="C42" s="44">
        <f>D40+(C40/90000)</f>
        <v>26918.609666666674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4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400-000000000000}"/>
  </hyperlinks>
  <pageMargins left="0.7" right="0.7" top="0.41" bottom="0.3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6"/>
  <sheetViews>
    <sheetView showGridLines="0" rightToLeft="1" zoomScale="85" zoomScaleNormal="85" workbookViewId="0">
      <selection activeCell="C18" sqref="C18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6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1800000</v>
      </c>
      <c r="D6" s="99">
        <f>C6/90000</f>
        <v>20</v>
      </c>
      <c r="E6" s="107">
        <v>6</v>
      </c>
    </row>
    <row r="7" spans="1:7" ht="21">
      <c r="B7" s="12" t="s">
        <v>28</v>
      </c>
      <c r="C7" s="16">
        <v>2900000</v>
      </c>
      <c r="D7" s="100">
        <f t="shared" ref="D7:D10" si="0">C7/90000</f>
        <v>32.222222222222221</v>
      </c>
      <c r="E7" s="108">
        <f>E11-E6-E8-E9-E10</f>
        <v>20</v>
      </c>
    </row>
    <row r="8" spans="1:7" ht="21">
      <c r="B8" s="12" t="s">
        <v>27</v>
      </c>
      <c r="C8" s="16">
        <v>320000</v>
      </c>
      <c r="D8" s="100">
        <f t="shared" si="0"/>
        <v>3.5555555555555554</v>
      </c>
      <c r="E8" s="109">
        <v>1</v>
      </c>
    </row>
    <row r="9" spans="1:7" ht="21">
      <c r="B9" s="12" t="s">
        <v>33</v>
      </c>
      <c r="C9" s="16">
        <v>1050000</v>
      </c>
      <c r="D9" s="100">
        <f t="shared" si="0"/>
        <v>11.666666666666666</v>
      </c>
      <c r="E9" s="109">
        <v>6</v>
      </c>
    </row>
    <row r="10" spans="1:7" ht="21.5" thickBot="1">
      <c r="B10" s="12" t="s">
        <v>3</v>
      </c>
      <c r="C10" s="18"/>
      <c r="D10" s="101">
        <f t="shared" si="0"/>
        <v>0</v>
      </c>
      <c r="E10" s="110"/>
    </row>
    <row r="11" spans="1:7" ht="21">
      <c r="B11" s="12" t="s">
        <v>30</v>
      </c>
      <c r="C11" s="9">
        <f>SUM(C6:C10)</f>
        <v>6070000</v>
      </c>
      <c r="D11" s="9">
        <f>SUM(D6:D10)</f>
        <v>67.444444444444443</v>
      </c>
      <c r="E11" s="9">
        <v>33</v>
      </c>
      <c r="F11" s="42"/>
      <c r="G11" s="42">
        <f>6070000-C11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>
        <v>530000</v>
      </c>
      <c r="D16" s="23">
        <f t="shared" si="1"/>
        <v>5.8888888888888893</v>
      </c>
      <c r="E16" s="39">
        <f t="shared" si="2"/>
        <v>0</v>
      </c>
    </row>
    <row r="17" spans="1:5" ht="18.5">
      <c r="A17" s="4"/>
      <c r="B17" s="5" t="s">
        <v>10</v>
      </c>
      <c r="C17" s="22">
        <v>1300000</v>
      </c>
      <c r="D17" s="23">
        <f t="shared" si="1"/>
        <v>14.444444444444445</v>
      </c>
      <c r="E17" s="39">
        <f t="shared" si="2"/>
        <v>0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>
        <f>69*90000</f>
        <v>6210000</v>
      </c>
      <c r="D23" s="23">
        <f t="shared" si="1"/>
        <v>69</v>
      </c>
      <c r="E23" s="39">
        <f t="shared" si="2"/>
        <v>0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f>900000+250000</f>
        <v>1150000</v>
      </c>
      <c r="D32" s="25">
        <f t="shared" si="1"/>
        <v>12.777777777777779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9390000</v>
      </c>
      <c r="D37" s="30">
        <f>SUM(D13:D35)</f>
        <v>104.33333333333334</v>
      </c>
    </row>
    <row r="38" spans="1:5" ht="23.5">
      <c r="A38" s="122" t="s">
        <v>22</v>
      </c>
      <c r="B38" s="122"/>
      <c r="C38" s="31"/>
      <c r="D38" s="31">
        <f>'19'!C42</f>
        <v>26918.609666666674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-3320000</v>
      </c>
      <c r="D40" s="30">
        <f>D38</f>
        <v>26918.609666666674</v>
      </c>
    </row>
    <row r="42" spans="1:5" ht="23.5">
      <c r="B42" s="37" t="s">
        <v>36</v>
      </c>
      <c r="C42" s="44">
        <f>D40+(C40/90000)</f>
        <v>26881.720777777784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5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500-000000000000}"/>
  </hyperlinks>
  <pageMargins left="0.7" right="0.7" top="0.41" bottom="0.3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46"/>
  <sheetViews>
    <sheetView showGridLines="0" rightToLeft="1" zoomScale="85" zoomScaleNormal="85" workbookViewId="0">
      <selection activeCell="C20" sqref="C20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1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3200000</v>
      </c>
      <c r="D6" s="99">
        <f>C6/90000</f>
        <v>35.555555555555557</v>
      </c>
      <c r="E6" s="107">
        <v>11</v>
      </c>
    </row>
    <row r="7" spans="1:7" ht="21">
      <c r="B7" s="12" t="s">
        <v>28</v>
      </c>
      <c r="C7" s="16">
        <v>10150000</v>
      </c>
      <c r="D7" s="100">
        <f t="shared" ref="D7:D10" si="0">C7/90000</f>
        <v>112.77777777777777</v>
      </c>
      <c r="E7" s="108">
        <f>E11-E6-E8-E9-E10</f>
        <v>65</v>
      </c>
    </row>
    <row r="8" spans="1:7" ht="21">
      <c r="B8" s="12" t="s">
        <v>27</v>
      </c>
      <c r="C8" s="16">
        <v>2060000</v>
      </c>
      <c r="D8" s="100">
        <f t="shared" si="0"/>
        <v>22.888888888888889</v>
      </c>
      <c r="E8" s="109">
        <v>6</v>
      </c>
    </row>
    <row r="9" spans="1:7" ht="21">
      <c r="B9" s="12" t="s">
        <v>33</v>
      </c>
      <c r="C9" s="16">
        <v>2300000</v>
      </c>
      <c r="D9" s="100">
        <f t="shared" si="0"/>
        <v>25.555555555555557</v>
      </c>
      <c r="E9" s="109">
        <v>11</v>
      </c>
    </row>
    <row r="10" spans="1:7" ht="21.5" thickBot="1">
      <c r="B10" s="12" t="s">
        <v>3</v>
      </c>
      <c r="C10" s="18">
        <v>870000</v>
      </c>
      <c r="D10" s="101">
        <f t="shared" si="0"/>
        <v>9.6666666666666661</v>
      </c>
      <c r="E10" s="110">
        <v>6</v>
      </c>
    </row>
    <row r="11" spans="1:7" ht="21">
      <c r="B11" s="12" t="s">
        <v>30</v>
      </c>
      <c r="C11" s="9">
        <f>SUM(C6:C10)</f>
        <v>18580000</v>
      </c>
      <c r="D11" s="9">
        <f>SUM(D6:D10)</f>
        <v>206.44444444444443</v>
      </c>
      <c r="E11" s="9">
        <v>99</v>
      </c>
      <c r="F11" s="42"/>
      <c r="G11" s="42">
        <f>18580000-C11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>
        <v>1070000</v>
      </c>
      <c r="D19" s="23">
        <f t="shared" si="1"/>
        <v>11.888888888888889</v>
      </c>
      <c r="E19" s="39">
        <f t="shared" si="2"/>
        <v>0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>
        <v>450000</v>
      </c>
      <c r="D30" s="25">
        <f t="shared" si="1"/>
        <v>5</v>
      </c>
      <c r="E30" s="39">
        <f t="shared" si="2"/>
        <v>0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2100000</v>
      </c>
      <c r="D32" s="25">
        <f t="shared" si="1"/>
        <v>23.333333333333332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3820000</v>
      </c>
      <c r="D37" s="30">
        <f>SUM(D13:D35)</f>
        <v>42.444444444444443</v>
      </c>
    </row>
    <row r="38" spans="1:5" ht="23.5">
      <c r="A38" s="122" t="s">
        <v>22</v>
      </c>
      <c r="B38" s="122"/>
      <c r="C38" s="31"/>
      <c r="D38" s="31">
        <f>'20'!C42</f>
        <v>26881.720777777784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14760000</v>
      </c>
      <c r="D40" s="30">
        <f>D38</f>
        <v>26881.720777777784</v>
      </c>
    </row>
    <row r="42" spans="1:5" ht="23.5">
      <c r="B42" s="37" t="s">
        <v>36</v>
      </c>
      <c r="C42" s="44">
        <f>D40+(C40/90000)</f>
        <v>27045.720777777784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6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600-000000000000}"/>
  </hyperlinks>
  <pageMargins left="0.7" right="0.7" top="0.41" bottom="0.3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6"/>
  <sheetViews>
    <sheetView showGridLines="0" rightToLeft="1" topLeftCell="A10" zoomScale="85" zoomScaleNormal="85" workbookViewId="0">
      <selection activeCell="C32" sqref="C32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4110000</v>
      </c>
      <c r="D6" s="99">
        <f>C6/90000</f>
        <v>45.666666666666664</v>
      </c>
      <c r="E6" s="107">
        <v>14</v>
      </c>
    </row>
    <row r="7" spans="1:7" ht="21">
      <c r="B7" s="12" t="s">
        <v>28</v>
      </c>
      <c r="C7" s="16">
        <v>10100000</v>
      </c>
      <c r="D7" s="100">
        <f t="shared" ref="D7:D10" si="0">C7/90000</f>
        <v>112.22222222222223</v>
      </c>
      <c r="E7" s="108">
        <f>E11-E6-E8-E9-E10</f>
        <v>58</v>
      </c>
    </row>
    <row r="8" spans="1:7" ht="21">
      <c r="B8" s="12" t="s">
        <v>27</v>
      </c>
      <c r="C8" s="16">
        <v>1270000</v>
      </c>
      <c r="D8" s="100">
        <f t="shared" si="0"/>
        <v>14.111111111111111</v>
      </c>
      <c r="E8" s="109">
        <v>4</v>
      </c>
    </row>
    <row r="9" spans="1:7" ht="21">
      <c r="B9" s="12" t="s">
        <v>33</v>
      </c>
      <c r="C9" s="16">
        <v>1500000</v>
      </c>
      <c r="D9" s="100">
        <f t="shared" si="0"/>
        <v>16.666666666666668</v>
      </c>
      <c r="E9" s="109">
        <v>6</v>
      </c>
    </row>
    <row r="10" spans="1:7" ht="21.5" thickBot="1">
      <c r="B10" s="12" t="s">
        <v>3</v>
      </c>
      <c r="C10" s="18"/>
      <c r="D10" s="101">
        <f t="shared" si="0"/>
        <v>0</v>
      </c>
      <c r="E10" s="110"/>
    </row>
    <row r="11" spans="1:7" ht="21">
      <c r="B11" s="12" t="s">
        <v>30</v>
      </c>
      <c r="C11" s="9">
        <f>SUM(C6:C10)</f>
        <v>16980000</v>
      </c>
      <c r="D11" s="9">
        <f>SUM(D6:D10)</f>
        <v>188.66666666666666</v>
      </c>
      <c r="E11" s="9">
        <v>82</v>
      </c>
      <c r="F11" s="42"/>
      <c r="G11" s="42">
        <f>16980000-C11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>
        <f>270*90000</f>
        <v>24300000</v>
      </c>
      <c r="D31" s="25">
        <f t="shared" si="1"/>
        <v>270</v>
      </c>
      <c r="E31" s="39">
        <f t="shared" si="2"/>
        <v>0</v>
      </c>
    </row>
    <row r="32" spans="1:5" ht="18.5">
      <c r="A32" s="7"/>
      <c r="B32" s="6" t="s">
        <v>40</v>
      </c>
      <c r="C32" s="41">
        <v>400000</v>
      </c>
      <c r="D32" s="25">
        <f t="shared" si="1"/>
        <v>4.4444444444444446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24900000</v>
      </c>
      <c r="D37" s="30">
        <f>SUM(D13:D35)</f>
        <v>276.66666666666669</v>
      </c>
    </row>
    <row r="38" spans="1:5" ht="23.5">
      <c r="A38" s="122" t="s">
        <v>22</v>
      </c>
      <c r="B38" s="122"/>
      <c r="C38" s="31"/>
      <c r="D38" s="31">
        <f>'21'!C42</f>
        <v>27045.720777777784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-7920000</v>
      </c>
      <c r="D40" s="30">
        <f>D38</f>
        <v>27045.720777777784</v>
      </c>
    </row>
    <row r="42" spans="1:5" ht="23.5">
      <c r="B42" s="37" t="s">
        <v>36</v>
      </c>
      <c r="C42" s="44">
        <f>D40+(C40/90000)</f>
        <v>26957.720777777784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7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700-000000000000}"/>
  </hyperlinks>
  <pageMargins left="0.7" right="0.7" top="0.41" bottom="0.3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6"/>
  <sheetViews>
    <sheetView showGridLines="0" rightToLeft="1" topLeftCell="A6" zoomScale="85" zoomScaleNormal="85" workbookViewId="0">
      <selection activeCell="C17" sqref="C17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6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3040000</v>
      </c>
      <c r="D6" s="99">
        <f>C6/90000</f>
        <v>33.777777777777779</v>
      </c>
      <c r="E6" s="107">
        <v>10</v>
      </c>
    </row>
    <row r="7" spans="1:7" ht="21">
      <c r="B7" s="12" t="s">
        <v>28</v>
      </c>
      <c r="C7" s="16">
        <v>7210000</v>
      </c>
      <c r="D7" s="100">
        <f t="shared" ref="D7:D10" si="0">C7/90000</f>
        <v>80.111111111111114</v>
      </c>
      <c r="E7" s="108">
        <f>E11-E6-E8-E9-E10</f>
        <v>36</v>
      </c>
    </row>
    <row r="8" spans="1:7" ht="21">
      <c r="B8" s="12" t="s">
        <v>27</v>
      </c>
      <c r="C8" s="16">
        <v>3920000</v>
      </c>
      <c r="D8" s="100">
        <f t="shared" si="0"/>
        <v>43.555555555555557</v>
      </c>
      <c r="E8" s="109">
        <v>12</v>
      </c>
    </row>
    <row r="9" spans="1:7" ht="21">
      <c r="B9" s="12" t="s">
        <v>33</v>
      </c>
      <c r="C9" s="16">
        <v>2750000</v>
      </c>
      <c r="D9" s="100">
        <f t="shared" si="0"/>
        <v>30.555555555555557</v>
      </c>
      <c r="E9" s="109">
        <v>14</v>
      </c>
    </row>
    <row r="10" spans="1:7" ht="21.5" thickBot="1">
      <c r="B10" s="12" t="s">
        <v>3</v>
      </c>
      <c r="C10" s="18">
        <v>300000</v>
      </c>
      <c r="D10" s="101">
        <f t="shared" si="0"/>
        <v>3.3333333333333335</v>
      </c>
      <c r="E10" s="110">
        <v>2</v>
      </c>
    </row>
    <row r="11" spans="1:7" ht="21">
      <c r="B11" s="12" t="s">
        <v>30</v>
      </c>
      <c r="C11" s="9">
        <f>SUM(C6:C10)</f>
        <v>17220000</v>
      </c>
      <c r="D11" s="9">
        <f>SUM(D6:D10)</f>
        <v>191.33333333333334</v>
      </c>
      <c r="E11" s="9">
        <v>74</v>
      </c>
      <c r="F11" s="42"/>
      <c r="G11" s="42">
        <f>17220000-C11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>
        <v>1800000</v>
      </c>
      <c r="D15" s="21">
        <f t="shared" si="1"/>
        <v>20</v>
      </c>
      <c r="E15" s="39">
        <f t="shared" si="2"/>
        <v>0</v>
      </c>
    </row>
    <row r="16" spans="1:7" ht="19" thickBot="1">
      <c r="A16" s="34" t="s">
        <v>8</v>
      </c>
      <c r="B16" s="5" t="s">
        <v>9</v>
      </c>
      <c r="C16" s="22">
        <v>1000000</v>
      </c>
      <c r="D16" s="23">
        <f t="shared" si="1"/>
        <v>11.111111111111111</v>
      </c>
      <c r="E16" s="39">
        <f t="shared" si="2"/>
        <v>0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>
        <v>1899999</v>
      </c>
      <c r="D24" s="23">
        <f t="shared" si="1"/>
        <v>21.1111</v>
      </c>
      <c r="E24" s="39">
        <f t="shared" si="2"/>
        <v>0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>
        <v>50000</v>
      </c>
      <c r="D28" s="25">
        <f t="shared" si="1"/>
        <v>0.55555555555555558</v>
      </c>
      <c r="E28" s="39">
        <f t="shared" si="2"/>
        <v>0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>
        <f>70*90000</f>
        <v>6300000</v>
      </c>
      <c r="D30" s="25">
        <f t="shared" si="1"/>
        <v>70</v>
      </c>
      <c r="E30" s="39">
        <f t="shared" si="2"/>
        <v>0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400000</v>
      </c>
      <c r="D32" s="25">
        <f t="shared" si="1"/>
        <v>4.4444444444444446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11649999</v>
      </c>
      <c r="D37" s="30">
        <f>SUM(D13:D35)</f>
        <v>129.44443333333334</v>
      </c>
    </row>
    <row r="38" spans="1:5" ht="23.5">
      <c r="A38" s="122" t="s">
        <v>22</v>
      </c>
      <c r="B38" s="122"/>
      <c r="C38" s="31"/>
      <c r="D38" s="31">
        <f>'22'!C42</f>
        <v>26957.720777777784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5570001</v>
      </c>
      <c r="D40" s="30">
        <f>D38</f>
        <v>26957.720777777784</v>
      </c>
    </row>
    <row r="42" spans="1:5" ht="23.5">
      <c r="B42" s="37" t="s">
        <v>36</v>
      </c>
      <c r="C42" s="44">
        <f>D40+(C40/90000)</f>
        <v>27019.609677777786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 t="s">
        <v>116</v>
      </c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8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800-000000000000}"/>
  </hyperlinks>
  <pageMargins left="0.7" right="0.7" top="0.41" bottom="0.3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6"/>
  <sheetViews>
    <sheetView showGridLines="0" rightToLeft="1" zoomScale="85" zoomScaleNormal="85" workbookViewId="0">
      <selection activeCell="C35" sqref="C35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6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5840000</v>
      </c>
      <c r="D6" s="99">
        <f>C6/90000</f>
        <v>64.888888888888886</v>
      </c>
      <c r="E6" s="107">
        <v>19</v>
      </c>
    </row>
    <row r="7" spans="1:7" ht="21">
      <c r="B7" s="12" t="s">
        <v>28</v>
      </c>
      <c r="C7" s="16">
        <v>17580000</v>
      </c>
      <c r="D7" s="100">
        <f t="shared" ref="D7:D10" si="0">C7/90000</f>
        <v>195.33333333333334</v>
      </c>
      <c r="E7" s="108">
        <f>E11-E6-E8-E9-E10</f>
        <v>97</v>
      </c>
    </row>
    <row r="8" spans="1:7" ht="21">
      <c r="B8" s="12" t="s">
        <v>27</v>
      </c>
      <c r="C8" s="16">
        <v>6850000</v>
      </c>
      <c r="D8" s="100">
        <f t="shared" si="0"/>
        <v>76.111111111111114</v>
      </c>
      <c r="E8" s="109">
        <v>26</v>
      </c>
    </row>
    <row r="9" spans="1:7" ht="21">
      <c r="B9" s="12" t="s">
        <v>33</v>
      </c>
      <c r="C9" s="16">
        <v>12850000</v>
      </c>
      <c r="D9" s="100">
        <f t="shared" si="0"/>
        <v>142.77777777777777</v>
      </c>
      <c r="E9" s="109">
        <v>55</v>
      </c>
    </row>
    <row r="10" spans="1:7" ht="21.5" thickBot="1">
      <c r="B10" s="12" t="s">
        <v>3</v>
      </c>
      <c r="C10" s="18"/>
      <c r="D10" s="101">
        <f t="shared" si="0"/>
        <v>0</v>
      </c>
      <c r="E10" s="110"/>
    </row>
    <row r="11" spans="1:7" ht="21">
      <c r="B11" s="12" t="s">
        <v>30</v>
      </c>
      <c r="C11" s="9">
        <f>SUM(C6:C10)</f>
        <v>43120000</v>
      </c>
      <c r="D11" s="9">
        <f>SUM(D6:D10)</f>
        <v>479.11111111111114</v>
      </c>
      <c r="E11" s="9">
        <v>197</v>
      </c>
      <c r="F11" s="42"/>
      <c r="G11" s="42">
        <f>43120000-C11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1040000</v>
      </c>
      <c r="D32" s="25">
        <f t="shared" si="1"/>
        <v>11.555555555555555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1240000</v>
      </c>
      <c r="D37" s="30">
        <f>SUM(D13:D35)</f>
        <v>13.777777777777779</v>
      </c>
    </row>
    <row r="38" spans="1:5" ht="23.5">
      <c r="A38" s="122" t="s">
        <v>22</v>
      </c>
      <c r="B38" s="122"/>
      <c r="C38" s="31"/>
      <c r="D38" s="31">
        <f>'23'!C42</f>
        <v>27019.609677777786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41880000</v>
      </c>
      <c r="D40" s="30">
        <f>D38</f>
        <v>27019.609677777786</v>
      </c>
    </row>
    <row r="42" spans="1:5" ht="23.5">
      <c r="B42" s="37" t="s">
        <v>36</v>
      </c>
      <c r="C42" s="44">
        <f>D40+(C40/90000)</f>
        <v>27484.943011111118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9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900-000000000000}"/>
  </hyperlinks>
  <pageMargins left="0.7" right="0.7" top="0.41" bottom="0.3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6"/>
  <sheetViews>
    <sheetView showGridLines="0" rightToLeft="1" topLeftCell="A9" zoomScale="85" zoomScaleNormal="85" workbookViewId="0">
      <selection activeCell="C28" sqref="C28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6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4580000</v>
      </c>
      <c r="D6" s="99">
        <f>C6/90000</f>
        <v>50.888888888888886</v>
      </c>
      <c r="E6" s="107">
        <v>15</v>
      </c>
    </row>
    <row r="7" spans="1:7" ht="21">
      <c r="B7" s="12" t="s">
        <v>28</v>
      </c>
      <c r="C7" s="16">
        <v>21820000</v>
      </c>
      <c r="D7" s="100">
        <f t="shared" ref="D7:D10" si="0">C7/90000</f>
        <v>242.44444444444446</v>
      </c>
      <c r="E7" s="108">
        <f>E11-E6-E8-E9-E10</f>
        <v>135</v>
      </c>
    </row>
    <row r="8" spans="1:7" ht="21">
      <c r="B8" s="12" t="s">
        <v>27</v>
      </c>
      <c r="C8" s="16">
        <v>8730000</v>
      </c>
      <c r="D8" s="100">
        <f t="shared" si="0"/>
        <v>97</v>
      </c>
      <c r="E8" s="109">
        <v>30</v>
      </c>
    </row>
    <row r="9" spans="1:7" ht="21">
      <c r="B9" s="12" t="s">
        <v>33</v>
      </c>
      <c r="C9" s="16">
        <v>13850000</v>
      </c>
      <c r="D9" s="100">
        <f t="shared" si="0"/>
        <v>153.88888888888889</v>
      </c>
      <c r="E9" s="109">
        <v>56</v>
      </c>
    </row>
    <row r="10" spans="1:7" ht="21.5" thickBot="1">
      <c r="B10" s="12" t="s">
        <v>3</v>
      </c>
      <c r="C10" s="18">
        <v>300000</v>
      </c>
      <c r="D10" s="101">
        <f t="shared" si="0"/>
        <v>3.3333333333333335</v>
      </c>
      <c r="E10" s="110">
        <v>2</v>
      </c>
    </row>
    <row r="11" spans="1:7" ht="21">
      <c r="B11" s="12" t="s">
        <v>30</v>
      </c>
      <c r="C11" s="9">
        <f>SUM(C6:C10)</f>
        <v>49280000</v>
      </c>
      <c r="D11" s="9">
        <f>SUM(D6:D10)</f>
        <v>547.55555555555566</v>
      </c>
      <c r="E11" s="9">
        <v>238</v>
      </c>
      <c r="F11" s="42"/>
      <c r="G11" s="42">
        <f>49280000-C11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>
        <v>500000</v>
      </c>
      <c r="D15" s="21">
        <f t="shared" si="1"/>
        <v>5.5555555555555554</v>
      </c>
      <c r="E15" s="39">
        <f t="shared" si="2"/>
        <v>0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>
        <f>1700000</f>
        <v>1700000</v>
      </c>
      <c r="D19" s="23">
        <f t="shared" si="1"/>
        <v>18.888888888888889</v>
      </c>
      <c r="E19" s="39">
        <f t="shared" si="2"/>
        <v>0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>
        <v>2700000</v>
      </c>
      <c r="D24" s="23">
        <f t="shared" si="1"/>
        <v>30</v>
      </c>
      <c r="E24" s="39">
        <f t="shared" si="2"/>
        <v>0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>
        <v>1960000</v>
      </c>
      <c r="D27" s="25">
        <f t="shared" si="1"/>
        <v>21.777777777777779</v>
      </c>
      <c r="E27" s="39">
        <f t="shared" si="2"/>
        <v>0</v>
      </c>
    </row>
    <row r="28" spans="1:5" ht="18.5">
      <c r="A28" s="7"/>
      <c r="B28" s="6" t="s">
        <v>3</v>
      </c>
      <c r="C28" s="24">
        <f>35*90000</f>
        <v>3150000</v>
      </c>
      <c r="D28" s="25">
        <f t="shared" si="1"/>
        <v>35</v>
      </c>
      <c r="E28" s="39">
        <f t="shared" si="2"/>
        <v>0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>
        <v>1800000</v>
      </c>
      <c r="D30" s="25">
        <f t="shared" si="1"/>
        <v>20</v>
      </c>
      <c r="E30" s="39">
        <f t="shared" si="2"/>
        <v>0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100000</v>
      </c>
      <c r="D32" s="25">
        <f t="shared" si="1"/>
        <v>1.1111111111111112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12110000</v>
      </c>
      <c r="D37" s="30">
        <f>SUM(D13:D35)</f>
        <v>134.55555555555557</v>
      </c>
    </row>
    <row r="38" spans="1:5" ht="23.5">
      <c r="A38" s="122" t="s">
        <v>22</v>
      </c>
      <c r="B38" s="122"/>
      <c r="C38" s="31"/>
      <c r="D38" s="31">
        <f>'24'!C42</f>
        <v>27484.943011111118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37170000</v>
      </c>
      <c r="D40" s="30">
        <f>D38</f>
        <v>27484.943011111118</v>
      </c>
    </row>
    <row r="42" spans="1:5" ht="23.5">
      <c r="B42" s="37" t="s">
        <v>36</v>
      </c>
      <c r="C42" s="44">
        <f>D40+(C40/90000)</f>
        <v>27897.943011111118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A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A00-000000000000}"/>
  </hyperlinks>
  <pageMargins left="0.7" right="0.7" top="0.41" bottom="0.3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46"/>
  <sheetViews>
    <sheetView showGridLines="0" rightToLeft="1" zoomScale="85" zoomScaleNormal="85" workbookViewId="0">
      <selection activeCell="C14" sqref="C14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2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19150000</v>
      </c>
      <c r="D6" s="99">
        <f>C6/90000</f>
        <v>212.77777777777777</v>
      </c>
      <c r="E6" s="107">
        <v>67</v>
      </c>
    </row>
    <row r="7" spans="1:7" ht="21">
      <c r="B7" s="12" t="s">
        <v>28</v>
      </c>
      <c r="C7" s="16">
        <v>51160000</v>
      </c>
      <c r="D7" s="100">
        <f t="shared" ref="D7:D10" si="0">C7/90000</f>
        <v>568.44444444444446</v>
      </c>
      <c r="E7" s="108">
        <f>E11-E6-E8-E9-E10</f>
        <v>296</v>
      </c>
    </row>
    <row r="8" spans="1:7" ht="21">
      <c r="B8" s="12" t="s">
        <v>27</v>
      </c>
      <c r="C8" s="16">
        <v>15820000</v>
      </c>
      <c r="D8" s="100">
        <f t="shared" si="0"/>
        <v>175.77777777777777</v>
      </c>
      <c r="E8" s="109">
        <v>50</v>
      </c>
    </row>
    <row r="9" spans="1:7" ht="21">
      <c r="B9" s="12" t="s">
        <v>33</v>
      </c>
      <c r="C9" s="16">
        <v>11950000</v>
      </c>
      <c r="D9" s="100">
        <f t="shared" si="0"/>
        <v>132.77777777777777</v>
      </c>
      <c r="E9" s="109">
        <v>55</v>
      </c>
    </row>
    <row r="10" spans="1:7" ht="21.5" thickBot="1">
      <c r="B10" s="12" t="s">
        <v>3</v>
      </c>
      <c r="C10" s="18">
        <v>1050000</v>
      </c>
      <c r="D10" s="101">
        <f t="shared" si="0"/>
        <v>11.666666666666666</v>
      </c>
      <c r="E10" s="110">
        <v>3</v>
      </c>
    </row>
    <row r="11" spans="1:7" ht="21">
      <c r="B11" s="12" t="s">
        <v>30</v>
      </c>
      <c r="C11" s="9">
        <f>SUM(C6:C10)</f>
        <v>99130000</v>
      </c>
      <c r="D11" s="9">
        <f>SUM(D6:D10)</f>
        <v>1101.4444444444446</v>
      </c>
      <c r="E11" s="9">
        <v>471</v>
      </c>
      <c r="F11" s="42"/>
      <c r="G11" s="42">
        <f>99130000-C11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>
        <v>2240000</v>
      </c>
      <c r="D13" s="29">
        <f>C13/90000</f>
        <v>24.888888888888889</v>
      </c>
      <c r="E13" s="39">
        <f>IF(C13&lt;&gt;0,0,1)</f>
        <v>0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>
        <f>47*90000</f>
        <v>4230000</v>
      </c>
      <c r="D19" s="23">
        <f t="shared" si="1"/>
        <v>47</v>
      </c>
      <c r="E19" s="39">
        <f t="shared" si="2"/>
        <v>0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700000</v>
      </c>
      <c r="D32" s="25">
        <f t="shared" si="1"/>
        <v>7.7777777777777777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>
        <v>600000</v>
      </c>
      <c r="D35" s="27">
        <f t="shared" si="1"/>
        <v>6.666666666666667</v>
      </c>
      <c r="E35" s="39">
        <f t="shared" si="2"/>
        <v>0</v>
      </c>
    </row>
    <row r="37" spans="1:5" ht="23.5">
      <c r="A37" s="122" t="s">
        <v>21</v>
      </c>
      <c r="B37" s="122"/>
      <c r="C37" s="30">
        <f>SUM(C13:C35)</f>
        <v>7970000</v>
      </c>
      <c r="D37" s="30">
        <f>SUM(D13:D35)</f>
        <v>88.555555555555557</v>
      </c>
    </row>
    <row r="38" spans="1:5" ht="23.5">
      <c r="A38" s="122" t="s">
        <v>22</v>
      </c>
      <c r="B38" s="122"/>
      <c r="C38" s="31"/>
      <c r="D38" s="31">
        <f>'25'!C42</f>
        <v>27897.943011111118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91160000</v>
      </c>
      <c r="D40" s="30">
        <f>D38</f>
        <v>27897.943011111118</v>
      </c>
    </row>
    <row r="42" spans="1:5" ht="23.5">
      <c r="B42" s="37" t="s">
        <v>36</v>
      </c>
      <c r="C42" s="44">
        <f>D40+(C40/90000)</f>
        <v>28910.831900000008</v>
      </c>
      <c r="D42" s="8">
        <f>11179-C42</f>
        <v>-17731.831900000008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B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B00-000000000000}"/>
  </hyperlinks>
  <pageMargins left="0.7" right="0.7" top="0.41" bottom="0.3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46"/>
  <sheetViews>
    <sheetView showGridLines="0" rightToLeft="1" zoomScale="85" zoomScaleNormal="85" workbookViewId="0">
      <selection activeCell="C17" sqref="C17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1200000</v>
      </c>
      <c r="D6" s="99">
        <f>C6/90000</f>
        <v>13.333333333333334</v>
      </c>
      <c r="E6" s="107">
        <v>4</v>
      </c>
    </row>
    <row r="7" spans="1:7" ht="21">
      <c r="B7" s="12" t="s">
        <v>28</v>
      </c>
      <c r="C7" s="16">
        <v>10620000</v>
      </c>
      <c r="D7" s="100">
        <f t="shared" ref="D7:D10" si="0">C7/90000</f>
        <v>118</v>
      </c>
      <c r="E7" s="108">
        <f>E11-E6-E8-E9-E10</f>
        <v>50</v>
      </c>
    </row>
    <row r="8" spans="1:7" ht="21">
      <c r="B8" s="12" t="s">
        <v>27</v>
      </c>
      <c r="C8" s="16">
        <v>620000</v>
      </c>
      <c r="D8" s="100">
        <f t="shared" si="0"/>
        <v>6.8888888888888893</v>
      </c>
      <c r="E8" s="109">
        <v>2</v>
      </c>
    </row>
    <row r="9" spans="1:7" ht="21">
      <c r="B9" s="12" t="s">
        <v>33</v>
      </c>
      <c r="C9" s="16">
        <v>4900000</v>
      </c>
      <c r="D9" s="100">
        <f t="shared" si="0"/>
        <v>54.444444444444443</v>
      </c>
      <c r="E9" s="109">
        <v>22</v>
      </c>
    </row>
    <row r="10" spans="1:7" ht="21.5" thickBot="1">
      <c r="B10" s="12" t="s">
        <v>3</v>
      </c>
      <c r="C10" s="18">
        <v>140000</v>
      </c>
      <c r="D10" s="101">
        <f t="shared" si="0"/>
        <v>1.5555555555555556</v>
      </c>
      <c r="E10" s="110">
        <v>1</v>
      </c>
    </row>
    <row r="11" spans="1:7" ht="21">
      <c r="B11" s="12" t="s">
        <v>30</v>
      </c>
      <c r="C11" s="9">
        <f>SUM(C6:C10)</f>
        <v>17480000</v>
      </c>
      <c r="D11" s="9">
        <f>SUM(D6:D10)</f>
        <v>194.22222222222223</v>
      </c>
      <c r="E11" s="9">
        <v>79</v>
      </c>
      <c r="F11" s="42"/>
      <c r="G11" s="42">
        <f>17480000-C11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>
        <v>200000</v>
      </c>
      <c r="D16" s="23">
        <f t="shared" si="1"/>
        <v>2.2222222222222223</v>
      </c>
      <c r="E16" s="39">
        <f t="shared" si="2"/>
        <v>0</v>
      </c>
    </row>
    <row r="17" spans="1:5" ht="18.5">
      <c r="A17" s="4"/>
      <c r="B17" s="5" t="s">
        <v>10</v>
      </c>
      <c r="C17" s="22">
        <f>78*90000</f>
        <v>7020000</v>
      </c>
      <c r="D17" s="23">
        <f t="shared" si="1"/>
        <v>78</v>
      </c>
      <c r="E17" s="39">
        <f t="shared" si="2"/>
        <v>0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/>
      <c r="D32" s="25">
        <f t="shared" si="1"/>
        <v>0</v>
      </c>
      <c r="E32" s="39">
        <f t="shared" si="2"/>
        <v>1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7420000</v>
      </c>
      <c r="D37" s="30">
        <f>SUM(D13:D35)</f>
        <v>82.444444444444457</v>
      </c>
    </row>
    <row r="38" spans="1:5" ht="23.5">
      <c r="A38" s="122" t="s">
        <v>22</v>
      </c>
      <c r="B38" s="122"/>
      <c r="C38" s="31"/>
      <c r="D38" s="31">
        <f>'26'!C42</f>
        <v>28910.831900000008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10060000</v>
      </c>
      <c r="D40" s="30">
        <f>D38</f>
        <v>28910.831900000008</v>
      </c>
    </row>
    <row r="42" spans="1:5" ht="23.5">
      <c r="B42" s="37" t="s">
        <v>36</v>
      </c>
      <c r="C42" s="44">
        <f>D40+(C40/90000)</f>
        <v>29022.609677777786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C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C00-000000000000}"/>
  </hyperlinks>
  <pageMargins left="0.7" right="0.7" top="0.41" bottom="0.3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46"/>
  <sheetViews>
    <sheetView showGridLines="0" rightToLeft="1" zoomScale="85" zoomScaleNormal="85" workbookViewId="0">
      <selection activeCell="C29" sqref="C29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1740000</v>
      </c>
      <c r="D6" s="99">
        <f>C6/90000</f>
        <v>19.333333333333332</v>
      </c>
      <c r="E6" s="107">
        <v>6</v>
      </c>
    </row>
    <row r="7" spans="1:7" ht="21">
      <c r="B7" s="12" t="s">
        <v>28</v>
      </c>
      <c r="C7" s="16">
        <v>6950000</v>
      </c>
      <c r="D7" s="100">
        <f t="shared" ref="D7:D10" si="0">C7/90000</f>
        <v>77.222222222222229</v>
      </c>
      <c r="E7" s="108">
        <f>E11-E6-E8-E9-E10</f>
        <v>43</v>
      </c>
    </row>
    <row r="8" spans="1:7" ht="21">
      <c r="B8" s="12" t="s">
        <v>27</v>
      </c>
      <c r="C8" s="16">
        <v>1600000</v>
      </c>
      <c r="D8" s="100">
        <f t="shared" si="0"/>
        <v>17.777777777777779</v>
      </c>
      <c r="E8" s="109">
        <v>5</v>
      </c>
    </row>
    <row r="9" spans="1:7" ht="21">
      <c r="B9" s="12" t="s">
        <v>33</v>
      </c>
      <c r="C9" s="16">
        <v>5650000</v>
      </c>
      <c r="D9" s="100">
        <f t="shared" si="0"/>
        <v>62.777777777777779</v>
      </c>
      <c r="E9" s="109">
        <v>25</v>
      </c>
    </row>
    <row r="10" spans="1:7" ht="21.5" thickBot="1">
      <c r="B10" s="12" t="s">
        <v>3</v>
      </c>
      <c r="C10" s="18">
        <v>300000</v>
      </c>
      <c r="D10" s="101">
        <f t="shared" si="0"/>
        <v>3.3333333333333335</v>
      </c>
      <c r="E10" s="110">
        <v>2</v>
      </c>
    </row>
    <row r="11" spans="1:7" ht="21">
      <c r="B11" s="12" t="s">
        <v>30</v>
      </c>
      <c r="C11" s="9">
        <f>SUM(C6:C10)</f>
        <v>16240000</v>
      </c>
      <c r="D11" s="9">
        <f>SUM(D6:D10)</f>
        <v>180.44444444444446</v>
      </c>
      <c r="E11" s="9">
        <v>81</v>
      </c>
      <c r="G11" s="42">
        <f>16240000-C11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>
        <v>500000</v>
      </c>
      <c r="D28" s="25">
        <f t="shared" si="1"/>
        <v>5.5555555555555554</v>
      </c>
      <c r="E28" s="39">
        <f t="shared" si="2"/>
        <v>0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v>1200000</v>
      </c>
      <c r="D32" s="25">
        <f t="shared" si="1"/>
        <v>13.333333333333334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>
        <f>162*90000</f>
        <v>14580000</v>
      </c>
      <c r="D35" s="27">
        <f t="shared" si="1"/>
        <v>162</v>
      </c>
      <c r="E35" s="39">
        <f t="shared" si="2"/>
        <v>0</v>
      </c>
    </row>
    <row r="37" spans="1:5" ht="23.5">
      <c r="A37" s="122" t="s">
        <v>21</v>
      </c>
      <c r="B37" s="122"/>
      <c r="C37" s="30">
        <f>SUM(C13:C35)</f>
        <v>16480000</v>
      </c>
      <c r="D37" s="30">
        <f>SUM(D13:D35)</f>
        <v>183.11111111111111</v>
      </c>
    </row>
    <row r="38" spans="1:5" ht="23.5">
      <c r="A38" s="122" t="s">
        <v>22</v>
      </c>
      <c r="B38" s="122"/>
      <c r="C38" s="31"/>
      <c r="D38" s="31">
        <f>'27'!C42</f>
        <v>29022.609677777786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-240000</v>
      </c>
      <c r="D40" s="30">
        <f>D38</f>
        <v>29022.609677777786</v>
      </c>
    </row>
    <row r="42" spans="1:5" ht="23.5">
      <c r="B42" s="37" t="s">
        <v>36</v>
      </c>
      <c r="C42" s="44">
        <f>D40+(C40/90000)</f>
        <v>29019.943011111118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D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D00-000000000000}"/>
  </hyperlinks>
  <pageMargins left="0.7" right="0.7" top="0.41" bottom="0.3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46"/>
  <sheetViews>
    <sheetView showGridLines="0" rightToLeft="1" zoomScale="85" zoomScaleNormal="85" workbookViewId="0">
      <selection activeCell="C32" sqref="C32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7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840000</v>
      </c>
      <c r="D6" s="99">
        <f>C6/90000</f>
        <v>9.3333333333333339</v>
      </c>
      <c r="E6" s="107">
        <v>3</v>
      </c>
    </row>
    <row r="7" spans="1:7" ht="21">
      <c r="B7" s="12" t="s">
        <v>28</v>
      </c>
      <c r="C7" s="16">
        <v>1880000</v>
      </c>
      <c r="D7" s="100">
        <f t="shared" ref="D7:D10" si="0">C7/90000</f>
        <v>20.888888888888889</v>
      </c>
      <c r="E7" s="108">
        <f>E11-E6-E8-E9-E10</f>
        <v>-7</v>
      </c>
    </row>
    <row r="8" spans="1:7" ht="21">
      <c r="B8" s="12" t="s">
        <v>27</v>
      </c>
      <c r="C8" s="16"/>
      <c r="D8" s="100">
        <f t="shared" si="0"/>
        <v>0</v>
      </c>
      <c r="E8" s="109"/>
    </row>
    <row r="9" spans="1:7" ht="21">
      <c r="B9" s="12" t="s">
        <v>33</v>
      </c>
      <c r="C9" s="16">
        <v>950000</v>
      </c>
      <c r="D9" s="100">
        <f t="shared" si="0"/>
        <v>10.555555555555555</v>
      </c>
      <c r="E9" s="109">
        <v>4</v>
      </c>
    </row>
    <row r="10" spans="1:7" ht="21.5" thickBot="1">
      <c r="B10" s="12" t="s">
        <v>3</v>
      </c>
      <c r="C10" s="18"/>
      <c r="D10" s="101">
        <f t="shared" si="0"/>
        <v>0</v>
      </c>
      <c r="E10" s="110"/>
    </row>
    <row r="11" spans="1:7" ht="21">
      <c r="B11" s="12" t="s">
        <v>30</v>
      </c>
      <c r="C11" s="9">
        <f>SUM(C6:C10)</f>
        <v>3670000</v>
      </c>
      <c r="D11" s="9">
        <f>SUM(D6:D10)</f>
        <v>40.777777777777779</v>
      </c>
      <c r="E11" s="9"/>
      <c r="G11" s="42">
        <f>3670000-C11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>
        <f>26*90000</f>
        <v>2340000</v>
      </c>
      <c r="D15" s="21">
        <f t="shared" si="1"/>
        <v>26</v>
      </c>
      <c r="E15" s="39">
        <f t="shared" si="2"/>
        <v>0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>
        <f>210*90000</f>
        <v>18900000</v>
      </c>
      <c r="D31" s="25">
        <f t="shared" si="1"/>
        <v>210</v>
      </c>
      <c r="E31" s="39">
        <f t="shared" si="2"/>
        <v>0</v>
      </c>
    </row>
    <row r="32" spans="1:5" ht="18.5">
      <c r="A32" s="7"/>
      <c r="B32" s="6" t="s">
        <v>40</v>
      </c>
      <c r="C32" s="41">
        <v>100000</v>
      </c>
      <c r="D32" s="25">
        <f t="shared" si="1"/>
        <v>1.1111111111111112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21540000</v>
      </c>
      <c r="D37" s="30">
        <f>SUM(D13:D35)</f>
        <v>239.33333333333334</v>
      </c>
    </row>
    <row r="38" spans="1:5" ht="23.5">
      <c r="A38" s="122" t="s">
        <v>22</v>
      </c>
      <c r="B38" s="122"/>
      <c r="C38" s="31"/>
      <c r="D38" s="31">
        <f>'28'!C42</f>
        <v>29019.943011111118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-17870000</v>
      </c>
      <c r="D40" s="30">
        <f>D38</f>
        <v>29019.943011111118</v>
      </c>
    </row>
    <row r="42" spans="1:5" ht="23.5">
      <c r="B42" s="37" t="s">
        <v>36</v>
      </c>
      <c r="C42" s="44">
        <f>D40+(C40/90000)</f>
        <v>28821.387455555563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/>
      <c r="B44" s="119"/>
      <c r="C44" s="119"/>
      <c r="D44" s="119"/>
    </row>
    <row r="45" spans="1:5" ht="18.5">
      <c r="A45" s="119"/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1E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E00-000000000000}"/>
  </hyperlinks>
  <pageMargins left="0.7" right="0.7" top="0.41" bottom="0.3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46"/>
  <sheetViews>
    <sheetView showGridLines="0" rightToLeft="1" zoomScale="85" zoomScaleNormal="85" workbookViewId="0">
      <selection activeCell="C32" sqref="C32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6" max="7" width="10.36328125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2340000</v>
      </c>
      <c r="D6" s="99">
        <f>C6/90000</f>
        <v>26</v>
      </c>
      <c r="E6" s="107">
        <v>8</v>
      </c>
    </row>
    <row r="7" spans="1:7" ht="21">
      <c r="B7" s="12" t="s">
        <v>28</v>
      </c>
      <c r="C7" s="16">
        <v>9230000</v>
      </c>
      <c r="D7" s="100">
        <f t="shared" ref="D7:D10" si="0">C7/90000</f>
        <v>102.55555555555556</v>
      </c>
      <c r="E7" s="108">
        <f>E11-E6-E8-E9-E10</f>
        <v>42</v>
      </c>
    </row>
    <row r="8" spans="1:7" ht="21">
      <c r="B8" s="12" t="s">
        <v>27</v>
      </c>
      <c r="C8" s="16">
        <v>1900000</v>
      </c>
      <c r="D8" s="100">
        <f t="shared" si="0"/>
        <v>21.111111111111111</v>
      </c>
      <c r="E8" s="109">
        <v>6</v>
      </c>
    </row>
    <row r="9" spans="1:7" ht="21">
      <c r="B9" s="12" t="s">
        <v>33</v>
      </c>
      <c r="C9" s="16">
        <v>7100000</v>
      </c>
      <c r="D9" s="100">
        <f t="shared" si="0"/>
        <v>78.888888888888886</v>
      </c>
      <c r="E9" s="109">
        <v>35</v>
      </c>
    </row>
    <row r="10" spans="1:7" ht="21.5" thickBot="1">
      <c r="B10" s="12" t="s">
        <v>3</v>
      </c>
      <c r="C10" s="18"/>
      <c r="D10" s="101">
        <f t="shared" si="0"/>
        <v>0</v>
      </c>
      <c r="E10" s="110"/>
    </row>
    <row r="11" spans="1:7" ht="21">
      <c r="B11" s="12" t="s">
        <v>30</v>
      </c>
      <c r="C11" s="9">
        <f>SUM(C6:C10)</f>
        <v>20570000</v>
      </c>
      <c r="D11" s="9">
        <f>SUM(D6:D10)</f>
        <v>228.55555555555554</v>
      </c>
      <c r="E11" s="9">
        <v>91</v>
      </c>
      <c r="F11" s="42"/>
      <c r="G11" s="42">
        <f>20570000-C11</f>
        <v>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>
        <v>2250000</v>
      </c>
      <c r="D13" s="29">
        <f>C13/90000</f>
        <v>25</v>
      </c>
      <c r="E13" s="39">
        <f>IF(C13&lt;&gt;0,0,1)</f>
        <v>0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>
        <v>1800000</v>
      </c>
      <c r="D22" s="23">
        <f t="shared" si="1"/>
        <v>20</v>
      </c>
      <c r="E22" s="39">
        <f t="shared" si="2"/>
        <v>0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f>4500000+500000</f>
        <v>5000000</v>
      </c>
      <c r="D32" s="25">
        <f t="shared" si="1"/>
        <v>55.555555555555557</v>
      </c>
      <c r="E32" s="39">
        <f t="shared" si="2"/>
        <v>0</v>
      </c>
    </row>
    <row r="33" spans="1:6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6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6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6" ht="23.5">
      <c r="A37" s="122" t="s">
        <v>21</v>
      </c>
      <c r="B37" s="122"/>
      <c r="C37" s="30">
        <f>SUM(C13:C35)</f>
        <v>9250000</v>
      </c>
      <c r="D37" s="30">
        <f>SUM(D13:D35)</f>
        <v>102.77777777777779</v>
      </c>
    </row>
    <row r="38" spans="1:6" ht="23.5">
      <c r="A38" s="122" t="s">
        <v>22</v>
      </c>
      <c r="B38" s="122"/>
      <c r="C38" s="31"/>
      <c r="D38" s="31">
        <f>'29'!C42</f>
        <v>28821.387455555563</v>
      </c>
    </row>
    <row r="39" spans="1:6" ht="23.5">
      <c r="A39" s="11"/>
      <c r="B39" s="11"/>
      <c r="C39" s="10"/>
      <c r="D39" s="10"/>
    </row>
    <row r="40" spans="1:6" ht="23.5">
      <c r="A40" s="122" t="s">
        <v>23</v>
      </c>
      <c r="B40" s="122"/>
      <c r="C40" s="30">
        <f>(C38+C11)-C37</f>
        <v>11320000</v>
      </c>
      <c r="D40" s="30">
        <f>D38</f>
        <v>28821.387455555563</v>
      </c>
    </row>
    <row r="42" spans="1:6" ht="23.5">
      <c r="B42" s="37" t="s">
        <v>36</v>
      </c>
      <c r="C42" s="44">
        <f>D40+(C40/90000)</f>
        <v>28947.16523333334</v>
      </c>
      <c r="F42" s="42"/>
    </row>
    <row r="43" spans="1:6" ht="23.5">
      <c r="A43" s="118" t="s">
        <v>43</v>
      </c>
      <c r="B43" s="118"/>
      <c r="C43" s="47"/>
      <c r="D43" s="47"/>
    </row>
    <row r="44" spans="1:6" ht="18.5">
      <c r="A44" s="119"/>
      <c r="B44" s="119"/>
      <c r="C44" s="119"/>
      <c r="D44" s="119"/>
    </row>
    <row r="45" spans="1:6" ht="18.5">
      <c r="A45" s="119"/>
      <c r="B45" s="119"/>
      <c r="C45" s="119"/>
      <c r="D45" s="119"/>
    </row>
    <row r="46" spans="1:6" ht="18.5">
      <c r="A46" s="119"/>
      <c r="B46" s="119"/>
      <c r="C46" s="119"/>
      <c r="D46" s="119"/>
    </row>
  </sheetData>
  <autoFilter ref="C12:E35" xr:uid="{00000000-0009-0000-0000-00001F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1F00-000000000000}"/>
  </hyperlinks>
  <pageMargins left="0.7" right="0.7" top="0.41" bottom="0.3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46"/>
  <sheetViews>
    <sheetView showGridLines="0" rightToLeft="1" tabSelected="1" topLeftCell="A26" zoomScale="85" zoomScaleNormal="85" workbookViewId="0">
      <selection activeCell="F29" sqref="F29"/>
    </sheetView>
  </sheetViews>
  <sheetFormatPr defaultRowHeight="15.5"/>
  <cols>
    <col min="1" max="2" width="15.6328125" style="1" customWidth="1"/>
    <col min="3" max="3" width="19" style="8" customWidth="1"/>
    <col min="4" max="4" width="17" style="8" customWidth="1"/>
    <col min="6" max="6" width="10.36328125" bestFit="1" customWidth="1"/>
    <col min="7" max="7" width="11" bestFit="1" customWidth="1"/>
  </cols>
  <sheetData>
    <row r="1" spans="1:7" ht="61">
      <c r="A1" s="120" t="s">
        <v>34</v>
      </c>
      <c r="B1" s="120"/>
      <c r="D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31</v>
      </c>
      <c r="D5" s="32" t="s">
        <v>32</v>
      </c>
      <c r="E5" s="102" t="s">
        <v>92</v>
      </c>
    </row>
    <row r="6" spans="1:7" ht="21">
      <c r="B6" s="12" t="s">
        <v>4</v>
      </c>
      <c r="C6" s="14">
        <v>4850000</v>
      </c>
      <c r="D6" s="99">
        <f>C6/90000</f>
        <v>53.888888888888886</v>
      </c>
      <c r="E6" s="107">
        <v>17</v>
      </c>
    </row>
    <row r="7" spans="1:7" ht="21">
      <c r="B7" s="12" t="s">
        <v>28</v>
      </c>
      <c r="C7" s="16">
        <v>18100000</v>
      </c>
      <c r="D7" s="100">
        <f t="shared" ref="D7:D10" si="0">C7/90000</f>
        <v>201.11111111111111</v>
      </c>
      <c r="E7" s="108">
        <f>E11-E6-E8-E9-E10</f>
        <v>92</v>
      </c>
    </row>
    <row r="8" spans="1:7" ht="21">
      <c r="B8" s="12" t="s">
        <v>27</v>
      </c>
      <c r="C8" s="16">
        <f>4390000+2480000</f>
        <v>6870000</v>
      </c>
      <c r="D8" s="100">
        <f t="shared" si="0"/>
        <v>76.333333333333329</v>
      </c>
      <c r="E8" s="109">
        <v>21</v>
      </c>
    </row>
    <row r="9" spans="1:7" ht="21">
      <c r="B9" s="12" t="s">
        <v>33</v>
      </c>
      <c r="C9" s="16">
        <v>9850000</v>
      </c>
      <c r="D9" s="100">
        <f t="shared" si="0"/>
        <v>109.44444444444444</v>
      </c>
      <c r="E9" s="109">
        <v>43</v>
      </c>
    </row>
    <row r="10" spans="1:7" ht="21.5" thickBot="1">
      <c r="B10" s="12" t="s">
        <v>3</v>
      </c>
      <c r="C10" s="18">
        <f>(990+120)*90000+440000</f>
        <v>100340000</v>
      </c>
      <c r="D10" s="101">
        <f t="shared" si="0"/>
        <v>1114.8888888888889</v>
      </c>
      <c r="E10" s="110">
        <v>3</v>
      </c>
    </row>
    <row r="11" spans="1:7" ht="21">
      <c r="B11" s="12" t="s">
        <v>30</v>
      </c>
      <c r="C11" s="9">
        <f>SUM(C6:C10)</f>
        <v>140010000</v>
      </c>
      <c r="D11" s="9">
        <f>SUM(D6:D10)</f>
        <v>1555.6666666666667</v>
      </c>
      <c r="E11" s="9">
        <v>176</v>
      </c>
      <c r="F11" s="42"/>
      <c r="G11" s="42">
        <f>40110000-C11</f>
        <v>-99900000</v>
      </c>
    </row>
    <row r="12" spans="1:7" ht="24" thickBot="1">
      <c r="A12" s="121" t="s">
        <v>2</v>
      </c>
      <c r="B12" s="121"/>
      <c r="C12" s="40" t="s">
        <v>37</v>
      </c>
      <c r="D12" s="40" t="s">
        <v>38</v>
      </c>
      <c r="E12" s="39" t="s">
        <v>39</v>
      </c>
    </row>
    <row r="13" spans="1:7" ht="19" thickBot="1">
      <c r="A13" s="33" t="s">
        <v>4</v>
      </c>
      <c r="B13" s="3" t="s">
        <v>5</v>
      </c>
      <c r="C13" s="28"/>
      <c r="D13" s="29">
        <f>C13/90000</f>
        <v>0</v>
      </c>
      <c r="E13" s="39">
        <f>IF(C13&lt;&gt;0,0,1)</f>
        <v>1</v>
      </c>
    </row>
    <row r="14" spans="1:7" ht="18.5">
      <c r="A14" s="2"/>
      <c r="B14" s="3" t="s">
        <v>6</v>
      </c>
      <c r="C14" s="20"/>
      <c r="D14" s="21">
        <f t="shared" ref="D14:D35" si="1">C14/90000</f>
        <v>0</v>
      </c>
      <c r="E14" s="39">
        <f t="shared" ref="E14:E35" si="2">IF(C14&lt;&gt;0,0,1)</f>
        <v>1</v>
      </c>
    </row>
    <row r="15" spans="1:7" ht="18.5">
      <c r="A15" s="2"/>
      <c r="B15" s="3" t="s">
        <v>7</v>
      </c>
      <c r="C15" s="20"/>
      <c r="D15" s="21">
        <f t="shared" si="1"/>
        <v>0</v>
      </c>
      <c r="E15" s="39">
        <f t="shared" si="2"/>
        <v>1</v>
      </c>
    </row>
    <row r="16" spans="1:7" ht="19" thickBot="1">
      <c r="A16" s="34" t="s">
        <v>8</v>
      </c>
      <c r="B16" s="5" t="s">
        <v>9</v>
      </c>
      <c r="C16" s="22"/>
      <c r="D16" s="23">
        <f t="shared" si="1"/>
        <v>0</v>
      </c>
      <c r="E16" s="39">
        <f t="shared" si="2"/>
        <v>1</v>
      </c>
    </row>
    <row r="17" spans="1:5" ht="18.5">
      <c r="A17" s="4"/>
      <c r="B17" s="5" t="s">
        <v>10</v>
      </c>
      <c r="C17" s="22"/>
      <c r="D17" s="23">
        <f t="shared" si="1"/>
        <v>0</v>
      </c>
      <c r="E17" s="39">
        <f t="shared" si="2"/>
        <v>1</v>
      </c>
    </row>
    <row r="18" spans="1:5" ht="18.5">
      <c r="A18" s="4"/>
      <c r="B18" s="5" t="s">
        <v>11</v>
      </c>
      <c r="C18" s="22"/>
      <c r="D18" s="23">
        <f t="shared" si="1"/>
        <v>0</v>
      </c>
      <c r="E18" s="39">
        <f t="shared" si="2"/>
        <v>1</v>
      </c>
    </row>
    <row r="19" spans="1:5" ht="18.5">
      <c r="A19" s="4"/>
      <c r="B19" s="5" t="s">
        <v>12</v>
      </c>
      <c r="C19" s="22"/>
      <c r="D19" s="23">
        <f t="shared" si="1"/>
        <v>0</v>
      </c>
      <c r="E19" s="39">
        <f t="shared" si="2"/>
        <v>1</v>
      </c>
    </row>
    <row r="20" spans="1:5" ht="18.5">
      <c r="A20" s="4"/>
      <c r="B20" s="5" t="s">
        <v>13</v>
      </c>
      <c r="C20" s="22"/>
      <c r="D20" s="23">
        <f t="shared" si="1"/>
        <v>0</v>
      </c>
      <c r="E20" s="39">
        <f t="shared" si="2"/>
        <v>1</v>
      </c>
    </row>
    <row r="21" spans="1:5" ht="18.5">
      <c r="A21" s="4"/>
      <c r="B21" s="5" t="s">
        <v>29</v>
      </c>
      <c r="C21" s="22"/>
      <c r="D21" s="23">
        <f t="shared" si="1"/>
        <v>0</v>
      </c>
      <c r="E21" s="39">
        <f t="shared" si="2"/>
        <v>1</v>
      </c>
    </row>
    <row r="22" spans="1:5" ht="18.5">
      <c r="A22" s="4"/>
      <c r="B22" s="5" t="s">
        <v>14</v>
      </c>
      <c r="C22" s="22"/>
      <c r="D22" s="23">
        <f t="shared" si="1"/>
        <v>0</v>
      </c>
      <c r="E22" s="39">
        <f t="shared" si="2"/>
        <v>1</v>
      </c>
    </row>
    <row r="23" spans="1:5" ht="18.5">
      <c r="A23" s="4"/>
      <c r="B23" s="5" t="s">
        <v>15</v>
      </c>
      <c r="C23" s="22"/>
      <c r="D23" s="23">
        <f t="shared" si="1"/>
        <v>0</v>
      </c>
      <c r="E23" s="39">
        <f t="shared" si="2"/>
        <v>1</v>
      </c>
    </row>
    <row r="24" spans="1:5" ht="18.5">
      <c r="A24" s="4"/>
      <c r="B24" s="5" t="s">
        <v>16</v>
      </c>
      <c r="C24" s="22"/>
      <c r="D24" s="23">
        <f t="shared" si="1"/>
        <v>0</v>
      </c>
      <c r="E24" s="39">
        <f t="shared" si="2"/>
        <v>1</v>
      </c>
    </row>
    <row r="25" spans="1:5" ht="21.5" thickBot="1">
      <c r="A25" s="35" t="s">
        <v>17</v>
      </c>
      <c r="B25" s="6" t="s">
        <v>18</v>
      </c>
      <c r="C25" s="24"/>
      <c r="D25" s="25">
        <f t="shared" si="1"/>
        <v>0</v>
      </c>
      <c r="E25" s="39">
        <f t="shared" si="2"/>
        <v>1</v>
      </c>
    </row>
    <row r="26" spans="1:5" ht="18.5">
      <c r="A26" s="7"/>
      <c r="B26" s="6" t="s">
        <v>19</v>
      </c>
      <c r="C26" s="24"/>
      <c r="D26" s="25">
        <f t="shared" si="1"/>
        <v>0</v>
      </c>
      <c r="E26" s="39">
        <f t="shared" si="2"/>
        <v>1</v>
      </c>
    </row>
    <row r="27" spans="1:5" ht="18.5">
      <c r="A27" s="7"/>
      <c r="B27" s="6" t="s">
        <v>20</v>
      </c>
      <c r="C27" s="24"/>
      <c r="D27" s="25">
        <f t="shared" si="1"/>
        <v>0</v>
      </c>
      <c r="E27" s="39">
        <f t="shared" si="2"/>
        <v>1</v>
      </c>
    </row>
    <row r="28" spans="1:5" ht="18.5">
      <c r="A28" s="7"/>
      <c r="B28" s="6" t="s">
        <v>3</v>
      </c>
      <c r="C28" s="24"/>
      <c r="D28" s="25">
        <f t="shared" si="1"/>
        <v>0</v>
      </c>
      <c r="E28" s="39">
        <f t="shared" si="2"/>
        <v>1</v>
      </c>
    </row>
    <row r="29" spans="1:5" ht="18.5">
      <c r="A29" s="7"/>
      <c r="B29" s="6" t="s">
        <v>24</v>
      </c>
      <c r="C29" s="24"/>
      <c r="D29" s="25">
        <f t="shared" si="1"/>
        <v>0</v>
      </c>
      <c r="E29" s="39">
        <f t="shared" si="2"/>
        <v>1</v>
      </c>
    </row>
    <row r="30" spans="1:5" ht="18.5">
      <c r="A30" s="7"/>
      <c r="B30" s="6" t="s">
        <v>25</v>
      </c>
      <c r="C30" s="24"/>
      <c r="D30" s="25">
        <f t="shared" si="1"/>
        <v>0</v>
      </c>
      <c r="E30" s="39">
        <f t="shared" si="2"/>
        <v>1</v>
      </c>
    </row>
    <row r="31" spans="1:5" ht="18.5">
      <c r="A31" s="7"/>
      <c r="B31" s="6" t="s">
        <v>26</v>
      </c>
      <c r="C31" s="24"/>
      <c r="D31" s="25">
        <f t="shared" si="1"/>
        <v>0</v>
      </c>
      <c r="E31" s="39">
        <f t="shared" si="2"/>
        <v>1</v>
      </c>
    </row>
    <row r="32" spans="1:5" ht="18.5">
      <c r="A32" s="7"/>
      <c r="B32" s="6" t="s">
        <v>40</v>
      </c>
      <c r="C32" s="41">
        <f>(150*90000)+400000</f>
        <v>13900000</v>
      </c>
      <c r="D32" s="25">
        <f t="shared" si="1"/>
        <v>154.44444444444446</v>
      </c>
      <c r="E32" s="39">
        <f t="shared" si="2"/>
        <v>0</v>
      </c>
    </row>
    <row r="33" spans="1:5" ht="18.5">
      <c r="A33" s="7"/>
      <c r="B33" s="6" t="s">
        <v>42</v>
      </c>
      <c r="C33" s="41"/>
      <c r="D33" s="25">
        <f t="shared" si="1"/>
        <v>0</v>
      </c>
      <c r="E33" s="39">
        <f t="shared" si="2"/>
        <v>1</v>
      </c>
    </row>
    <row r="34" spans="1:5" ht="18.5">
      <c r="A34" s="7"/>
      <c r="B34" s="6" t="s">
        <v>35</v>
      </c>
      <c r="C34" s="41">
        <v>200000</v>
      </c>
      <c r="D34" s="25">
        <f t="shared" si="1"/>
        <v>2.2222222222222223</v>
      </c>
      <c r="E34" s="39">
        <f t="shared" si="2"/>
        <v>0</v>
      </c>
    </row>
    <row r="35" spans="1:5" ht="21.5" thickBot="1">
      <c r="A35" s="7"/>
      <c r="B35" s="43" t="s">
        <v>41</v>
      </c>
      <c r="C35" s="26"/>
      <c r="D35" s="27">
        <f t="shared" si="1"/>
        <v>0</v>
      </c>
      <c r="E35" s="39">
        <f t="shared" si="2"/>
        <v>1</v>
      </c>
    </row>
    <row r="37" spans="1:5" ht="23.5">
      <c r="A37" s="122" t="s">
        <v>21</v>
      </c>
      <c r="B37" s="122"/>
      <c r="C37" s="30">
        <f>SUM(C13:C35)</f>
        <v>14100000</v>
      </c>
      <c r="D37" s="30">
        <f>SUM(D13:D35)</f>
        <v>156.66666666666669</v>
      </c>
    </row>
    <row r="38" spans="1:5" ht="23.5">
      <c r="A38" s="122" t="s">
        <v>22</v>
      </c>
      <c r="B38" s="122"/>
      <c r="C38" s="31"/>
      <c r="D38" s="31">
        <f>'30'!C42</f>
        <v>28947.16523333334</v>
      </c>
    </row>
    <row r="39" spans="1:5" ht="23.5">
      <c r="A39" s="11"/>
      <c r="B39" s="11"/>
      <c r="C39" s="10"/>
      <c r="D39" s="10"/>
    </row>
    <row r="40" spans="1:5" ht="23.5">
      <c r="A40" s="122" t="s">
        <v>23</v>
      </c>
      <c r="B40" s="122"/>
      <c r="C40" s="30">
        <f>(C38+C11)-C37</f>
        <v>125910000</v>
      </c>
      <c r="D40" s="30">
        <f>D38</f>
        <v>28947.16523333334</v>
      </c>
    </row>
    <row r="42" spans="1:5" ht="23.5">
      <c r="B42" s="37" t="s">
        <v>36</v>
      </c>
      <c r="C42" s="44">
        <f>D40+(C40/90000)</f>
        <v>30346.16523333334</v>
      </c>
    </row>
    <row r="43" spans="1:5" ht="23.5">
      <c r="A43" s="118" t="s">
        <v>43</v>
      </c>
      <c r="B43" s="118"/>
      <c r="C43" s="47"/>
      <c r="D43" s="47"/>
    </row>
    <row r="44" spans="1:5" ht="18.5">
      <c r="A44" s="119" t="s">
        <v>117</v>
      </c>
      <c r="B44" s="119"/>
      <c r="C44" s="119"/>
      <c r="D44" s="119"/>
    </row>
    <row r="45" spans="1:5" ht="18.5">
      <c r="A45" s="119" t="s">
        <v>118</v>
      </c>
      <c r="B45" s="119"/>
      <c r="C45" s="119"/>
      <c r="D45" s="119"/>
    </row>
    <row r="46" spans="1:5" ht="18.5">
      <c r="A46" s="119"/>
      <c r="B46" s="119"/>
      <c r="C46" s="119"/>
      <c r="D46" s="119"/>
    </row>
  </sheetData>
  <autoFilter ref="C12:E35" xr:uid="{00000000-0009-0000-0000-000020000000}"/>
  <mergeCells count="10">
    <mergeCell ref="A43:B43"/>
    <mergeCell ref="A44:D44"/>
    <mergeCell ref="A45:D45"/>
    <mergeCell ref="A46:D46"/>
    <mergeCell ref="A1:B1"/>
    <mergeCell ref="A5:B5"/>
    <mergeCell ref="A12:B12"/>
    <mergeCell ref="A37:B37"/>
    <mergeCell ref="A38:B38"/>
    <mergeCell ref="A40:B40"/>
  </mergeCells>
  <hyperlinks>
    <hyperlink ref="D1" location="الرئيسية!A1" display="الصفحة الرئيسية" xr:uid="{00000000-0004-0000-2000-000000000000}"/>
  </hyperlinks>
  <pageMargins left="0.7" right="0.7" top="0.41" bottom="0.3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I42"/>
  <sheetViews>
    <sheetView showZeros="0" rightToLeft="1" zoomScale="80" zoomScaleNormal="80" workbookViewId="0">
      <pane xSplit="2" ySplit="4" topLeftCell="L5" activePane="bottomRight" state="frozen"/>
      <selection pane="topRight" activeCell="C1" sqref="C1"/>
      <selection pane="bottomLeft" activeCell="A5" sqref="A5"/>
      <selection pane="bottomRight" activeCell="AI12" sqref="AI12:AI14"/>
    </sheetView>
  </sheetViews>
  <sheetFormatPr defaultRowHeight="21"/>
  <cols>
    <col min="1" max="2" width="15.6328125" style="1" customWidth="1"/>
    <col min="3" max="33" width="9.453125" style="8" customWidth="1"/>
    <col min="34" max="34" width="2.90625" customWidth="1"/>
    <col min="35" max="35" width="12.6328125" style="49" customWidth="1"/>
  </cols>
  <sheetData>
    <row r="1" spans="1:35" ht="61">
      <c r="A1" s="120" t="s">
        <v>34</v>
      </c>
      <c r="B1" s="120"/>
      <c r="C1" s="57" t="s">
        <v>53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</row>
    <row r="4" spans="1:35" ht="29" thickBot="1">
      <c r="A4" s="121" t="s">
        <v>1</v>
      </c>
      <c r="B4" s="121"/>
      <c r="C4" s="32">
        <v>1</v>
      </c>
      <c r="D4" s="32">
        <v>2</v>
      </c>
      <c r="E4" s="32">
        <v>3</v>
      </c>
      <c r="F4" s="32">
        <v>4</v>
      </c>
      <c r="G4" s="32">
        <v>5</v>
      </c>
      <c r="H4" s="32">
        <v>6</v>
      </c>
      <c r="I4" s="32">
        <v>7</v>
      </c>
      <c r="J4" s="32">
        <v>8</v>
      </c>
      <c r="K4" s="32">
        <v>9</v>
      </c>
      <c r="L4" s="32">
        <v>10</v>
      </c>
      <c r="M4" s="32">
        <v>11</v>
      </c>
      <c r="N4" s="32">
        <v>12</v>
      </c>
      <c r="O4" s="32">
        <v>13</v>
      </c>
      <c r="P4" s="32">
        <v>14</v>
      </c>
      <c r="Q4" s="32">
        <v>15</v>
      </c>
      <c r="R4" s="32">
        <v>16</v>
      </c>
      <c r="S4" s="32">
        <v>17</v>
      </c>
      <c r="T4" s="32">
        <v>18</v>
      </c>
      <c r="U4" s="32">
        <v>19</v>
      </c>
      <c r="V4" s="32">
        <v>20</v>
      </c>
      <c r="W4" s="32">
        <v>21</v>
      </c>
      <c r="X4" s="32">
        <v>22</v>
      </c>
      <c r="Y4" s="32">
        <v>23</v>
      </c>
      <c r="Z4" s="32">
        <v>24</v>
      </c>
      <c r="AA4" s="32">
        <v>25</v>
      </c>
      <c r="AB4" s="32">
        <v>26</v>
      </c>
      <c r="AC4" s="32">
        <v>27</v>
      </c>
      <c r="AD4" s="32">
        <v>28</v>
      </c>
      <c r="AE4" s="32">
        <v>29</v>
      </c>
      <c r="AF4" s="32">
        <v>30</v>
      </c>
      <c r="AG4" s="32">
        <v>31</v>
      </c>
      <c r="AI4" s="49" t="s">
        <v>54</v>
      </c>
    </row>
    <row r="5" spans="1:35">
      <c r="B5" s="12" t="s">
        <v>4</v>
      </c>
      <c r="C5" s="84">
        <f>'1'!D6</f>
        <v>79.444444444444443</v>
      </c>
      <c r="D5" s="85">
        <f>'2'!D6</f>
        <v>76.222222222222229</v>
      </c>
      <c r="E5" s="85">
        <f>'3'!D6</f>
        <v>90.333333333333329</v>
      </c>
      <c r="F5" s="85">
        <f>'4'!D6</f>
        <v>84.777777777777771</v>
      </c>
      <c r="G5" s="85">
        <f>'5'!D6</f>
        <v>87.333333333333329</v>
      </c>
      <c r="H5" s="85">
        <f>' 6'!D6</f>
        <v>13.333333333333334</v>
      </c>
      <c r="I5" s="85">
        <f>'7'!D6</f>
        <v>6.666666666666667</v>
      </c>
      <c r="J5" s="85">
        <f>'8'!D6</f>
        <v>23.333333333333332</v>
      </c>
      <c r="K5" s="85">
        <f>'9'!D6</f>
        <v>10</v>
      </c>
      <c r="L5" s="85">
        <f>'10'!D6</f>
        <v>56.666666666666664</v>
      </c>
      <c r="M5" s="85">
        <f>'11'!D6</f>
        <v>59.444444444444443</v>
      </c>
      <c r="N5" s="85">
        <f>'12'!D6</f>
        <v>32.666666666666664</v>
      </c>
      <c r="O5" s="85">
        <f>'13'!D6</f>
        <v>16.666666666666668</v>
      </c>
      <c r="P5" s="85">
        <f>'14'!D6</f>
        <v>23.333333333333332</v>
      </c>
      <c r="Q5" s="85">
        <f>'15'!D6</f>
        <v>36.666666666666664</v>
      </c>
      <c r="R5" s="85">
        <f>'16'!D6</f>
        <v>33.333333333333336</v>
      </c>
      <c r="S5" s="85">
        <f>'17'!D6</f>
        <v>74</v>
      </c>
      <c r="T5" s="85">
        <f>'18'!D6</f>
        <v>68.111111111111114</v>
      </c>
      <c r="U5" s="85">
        <f>'19'!D6</f>
        <v>66.111111111111114</v>
      </c>
      <c r="V5" s="85">
        <f>'20'!D6</f>
        <v>20</v>
      </c>
      <c r="W5" s="85">
        <f>'21'!D6</f>
        <v>35.555555555555557</v>
      </c>
      <c r="X5" s="85">
        <f>'22'!D6</f>
        <v>45.666666666666664</v>
      </c>
      <c r="Y5" s="85">
        <f>'23'!D6</f>
        <v>33.777777777777779</v>
      </c>
      <c r="Z5" s="85">
        <f>'24'!D6</f>
        <v>64.888888888888886</v>
      </c>
      <c r="AA5" s="85">
        <f>'25'!D6</f>
        <v>50.888888888888886</v>
      </c>
      <c r="AB5" s="85">
        <f>'26'!D6</f>
        <v>212.77777777777777</v>
      </c>
      <c r="AC5" s="85">
        <f>'27'!D6</f>
        <v>13.333333333333334</v>
      </c>
      <c r="AD5" s="85">
        <f>'28'!D6</f>
        <v>19.333333333333332</v>
      </c>
      <c r="AE5" s="85">
        <f>'29'!D6</f>
        <v>9.3333333333333339</v>
      </c>
      <c r="AF5" s="85">
        <f>'30'!D6</f>
        <v>26</v>
      </c>
      <c r="AG5" s="86">
        <f>'31'!D6</f>
        <v>53.888888888888886</v>
      </c>
      <c r="AI5" s="58">
        <f>SUM(C5:AG5)</f>
        <v>1523.8888888888887</v>
      </c>
    </row>
    <row r="6" spans="1:35">
      <c r="B6" s="12" t="s">
        <v>28</v>
      </c>
      <c r="C6" s="87">
        <f>'1'!D7</f>
        <v>197.11111111111111</v>
      </c>
      <c r="D6" s="88">
        <f>'2'!D7</f>
        <v>264.22222222222223</v>
      </c>
      <c r="E6" s="88">
        <f>'3'!D7</f>
        <v>302.22222222222223</v>
      </c>
      <c r="F6" s="88">
        <f>'4'!D7</f>
        <v>329.77777777777777</v>
      </c>
      <c r="G6" s="88">
        <f>'5'!D7</f>
        <v>270.66666666666669</v>
      </c>
      <c r="H6" s="88">
        <f>' 6'!D7</f>
        <v>116</v>
      </c>
      <c r="I6" s="88">
        <f>'7'!D7</f>
        <v>56.333333333333336</v>
      </c>
      <c r="J6" s="88">
        <f>'8'!D7</f>
        <v>156.88888888888889</v>
      </c>
      <c r="K6" s="88">
        <f>'9'!D7</f>
        <v>18.333333333333332</v>
      </c>
      <c r="L6" s="88">
        <f>'10'!D7</f>
        <v>198.11111111111111</v>
      </c>
      <c r="M6" s="88">
        <f>'11'!D7</f>
        <v>179.55555555555554</v>
      </c>
      <c r="N6" s="88">
        <f>'12'!D7</f>
        <v>153.11111111111111</v>
      </c>
      <c r="O6" s="88">
        <f>'13'!D7</f>
        <v>53.444444444444443</v>
      </c>
      <c r="P6" s="88">
        <f>'14'!D7</f>
        <v>50.111111111111114</v>
      </c>
      <c r="Q6" s="88">
        <f>'15'!D7</f>
        <v>121</v>
      </c>
      <c r="R6" s="88">
        <f>'16'!D7</f>
        <v>134.55555555555554</v>
      </c>
      <c r="S6" s="88">
        <f>'17'!D7</f>
        <v>246.44444444444446</v>
      </c>
      <c r="T6" s="88">
        <f>'18'!D7</f>
        <v>225</v>
      </c>
      <c r="U6" s="88">
        <f>'19'!D7</f>
        <v>140.55555555555554</v>
      </c>
      <c r="V6" s="88">
        <f>'20'!D7</f>
        <v>32.222222222222221</v>
      </c>
      <c r="W6" s="88">
        <f>'21'!D7</f>
        <v>112.77777777777777</v>
      </c>
      <c r="X6" s="88">
        <f>'22'!D7</f>
        <v>112.22222222222223</v>
      </c>
      <c r="Y6" s="88">
        <f>'23'!D7</f>
        <v>80.111111111111114</v>
      </c>
      <c r="Z6" s="88">
        <f>'24'!D7</f>
        <v>195.33333333333334</v>
      </c>
      <c r="AA6" s="88">
        <f>'25'!D7</f>
        <v>242.44444444444446</v>
      </c>
      <c r="AB6" s="88">
        <f>'26'!D7</f>
        <v>568.44444444444446</v>
      </c>
      <c r="AC6" s="88">
        <f>'27'!D7</f>
        <v>118</v>
      </c>
      <c r="AD6" s="88">
        <f>'28'!D7</f>
        <v>77.222222222222229</v>
      </c>
      <c r="AE6" s="88">
        <f>'29'!D7</f>
        <v>20.888888888888889</v>
      </c>
      <c r="AF6" s="88">
        <f>'30'!D7</f>
        <v>102.55555555555556</v>
      </c>
      <c r="AG6" s="89">
        <f>'31'!D7</f>
        <v>201.11111111111111</v>
      </c>
      <c r="AI6" s="58">
        <f t="shared" ref="AI6:AI34" si="0">SUM(C6:AG6)</f>
        <v>5076.7777777777792</v>
      </c>
    </row>
    <row r="7" spans="1:35">
      <c r="B7" s="12" t="s">
        <v>27</v>
      </c>
      <c r="C7" s="87">
        <f>'1'!D8</f>
        <v>52.444444444444443</v>
      </c>
      <c r="D7" s="88">
        <f>'2'!D8</f>
        <v>25.222222222222221</v>
      </c>
      <c r="E7" s="88">
        <f>'3'!D8</f>
        <v>56.555555555555557</v>
      </c>
      <c r="F7" s="88">
        <f>'4'!D8</f>
        <v>55.111111111111114</v>
      </c>
      <c r="G7" s="88">
        <f>'5'!D8</f>
        <v>43.111111111111114</v>
      </c>
      <c r="H7" s="88">
        <f>' 6'!D8</f>
        <v>7.333333333333333</v>
      </c>
      <c r="I7" s="88">
        <f>'7'!D8</f>
        <v>21.111111111111111</v>
      </c>
      <c r="J7" s="88">
        <f>'8'!D8</f>
        <v>17.888888888888889</v>
      </c>
      <c r="K7" s="88">
        <f>'9'!D8</f>
        <v>0</v>
      </c>
      <c r="L7" s="88">
        <f>'10'!D8</f>
        <v>13.888888888888889</v>
      </c>
      <c r="M7" s="88">
        <f>'11'!D8</f>
        <v>54.333333333333336</v>
      </c>
      <c r="N7" s="88">
        <f>'12'!D8</f>
        <v>25.111111111111111</v>
      </c>
      <c r="O7" s="88">
        <f>'13'!D8</f>
        <v>19.888888888888889</v>
      </c>
      <c r="P7" s="88">
        <f>'14'!D8</f>
        <v>31.666666666666668</v>
      </c>
      <c r="Q7" s="88">
        <f>'15'!D8</f>
        <v>21.555555555555557</v>
      </c>
      <c r="R7" s="88">
        <f>'16'!D8</f>
        <v>46.444444444444443</v>
      </c>
      <c r="S7" s="88">
        <f>'17'!D8</f>
        <v>64.222222222222229</v>
      </c>
      <c r="T7" s="88">
        <f>'18'!D8</f>
        <v>19.222222222222221</v>
      </c>
      <c r="U7" s="88">
        <f>'19'!D8</f>
        <v>50.111111111111114</v>
      </c>
      <c r="V7" s="88">
        <f>'20'!D8</f>
        <v>3.5555555555555554</v>
      </c>
      <c r="W7" s="88">
        <f>'21'!D8</f>
        <v>22.888888888888889</v>
      </c>
      <c r="X7" s="88">
        <f>'22'!D8</f>
        <v>14.111111111111111</v>
      </c>
      <c r="Y7" s="88">
        <f>'23'!D8</f>
        <v>43.555555555555557</v>
      </c>
      <c r="Z7" s="88">
        <f>'24'!D8</f>
        <v>76.111111111111114</v>
      </c>
      <c r="AA7" s="88">
        <f>'25'!D8</f>
        <v>97</v>
      </c>
      <c r="AB7" s="88">
        <f>'26'!D8</f>
        <v>175.77777777777777</v>
      </c>
      <c r="AC7" s="88">
        <f>'27'!D8</f>
        <v>6.8888888888888893</v>
      </c>
      <c r="AD7" s="88">
        <f>'28'!D8</f>
        <v>17.777777777777779</v>
      </c>
      <c r="AE7" s="88">
        <f>'29'!D8</f>
        <v>0</v>
      </c>
      <c r="AF7" s="88">
        <f>'30'!D8</f>
        <v>21.111111111111111</v>
      </c>
      <c r="AG7" s="89">
        <f>'31'!D8</f>
        <v>76.333333333333329</v>
      </c>
      <c r="AI7" s="58">
        <f t="shared" si="0"/>
        <v>1180.3333333333333</v>
      </c>
    </row>
    <row r="8" spans="1:35">
      <c r="B8" s="12" t="s">
        <v>33</v>
      </c>
      <c r="C8" s="87">
        <f>'1'!D9</f>
        <v>70</v>
      </c>
      <c r="D8" s="88">
        <f>'2'!D9</f>
        <v>110</v>
      </c>
      <c r="E8" s="88">
        <f>'3'!D9</f>
        <v>130.55555555555554</v>
      </c>
      <c r="F8" s="88">
        <f>'4'!D9</f>
        <v>107.22222222222223</v>
      </c>
      <c r="G8" s="88">
        <f>'5'!D9</f>
        <v>99.444444444444443</v>
      </c>
      <c r="H8" s="88">
        <f>' 6'!D9</f>
        <v>30.555555555555557</v>
      </c>
      <c r="I8" s="88">
        <f>'7'!D9</f>
        <v>8.3333333333333339</v>
      </c>
      <c r="J8" s="88">
        <f>'8'!D9</f>
        <v>52.777777777777779</v>
      </c>
      <c r="K8" s="88">
        <f>'9'!D9</f>
        <v>8.3333333333333339</v>
      </c>
      <c r="L8" s="88">
        <f>'10'!D9</f>
        <v>94.444444444444443</v>
      </c>
      <c r="M8" s="88">
        <f>'11'!D9</f>
        <v>63.333333333333336</v>
      </c>
      <c r="N8" s="88">
        <f>'12'!D9</f>
        <v>61.666666666666664</v>
      </c>
      <c r="O8" s="88">
        <f>'13'!D9</f>
        <v>30.555555555555557</v>
      </c>
      <c r="P8" s="88">
        <f>'14'!D9</f>
        <v>43.333333333333336</v>
      </c>
      <c r="Q8" s="88">
        <f>'15'!D9</f>
        <v>36.111111111111114</v>
      </c>
      <c r="R8" s="88">
        <f>'16'!D9</f>
        <v>48.888888888888886</v>
      </c>
      <c r="S8" s="88">
        <f>'17'!D9</f>
        <v>161.11111111111111</v>
      </c>
      <c r="T8" s="88">
        <f>'18'!D9</f>
        <v>91.111111111111114</v>
      </c>
      <c r="U8" s="88">
        <f>'19'!D9</f>
        <v>72.777777777777771</v>
      </c>
      <c r="V8" s="88">
        <f>'20'!D9</f>
        <v>11.666666666666666</v>
      </c>
      <c r="W8" s="88">
        <f>'21'!D9</f>
        <v>25.555555555555557</v>
      </c>
      <c r="X8" s="88">
        <f>'22'!D9</f>
        <v>16.666666666666668</v>
      </c>
      <c r="Y8" s="88">
        <f>'23'!D9</f>
        <v>30.555555555555557</v>
      </c>
      <c r="Z8" s="88">
        <f>'24'!D9</f>
        <v>142.77777777777777</v>
      </c>
      <c r="AA8" s="88">
        <f>'25'!D9</f>
        <v>153.88888888888889</v>
      </c>
      <c r="AB8" s="88">
        <f>'26'!D9</f>
        <v>132.77777777777777</v>
      </c>
      <c r="AC8" s="88">
        <f>'27'!D9</f>
        <v>54.444444444444443</v>
      </c>
      <c r="AD8" s="88">
        <f>'28'!D9</f>
        <v>62.777777777777779</v>
      </c>
      <c r="AE8" s="88">
        <f>'29'!D9</f>
        <v>10.555555555555555</v>
      </c>
      <c r="AF8" s="88">
        <f>'30'!D9</f>
        <v>78.888888888888886</v>
      </c>
      <c r="AG8" s="89">
        <f>'31'!D9</f>
        <v>109.44444444444444</v>
      </c>
      <c r="AI8" s="58">
        <f t="shared" si="0"/>
        <v>2150.5555555555561</v>
      </c>
    </row>
    <row r="9" spans="1:35" ht="21.5" thickBot="1">
      <c r="B9" s="12" t="s">
        <v>3</v>
      </c>
      <c r="C9" s="90">
        <f>'1'!D10</f>
        <v>1.6666666666666667</v>
      </c>
      <c r="D9" s="91">
        <f>'2'!D10</f>
        <v>12.888888888888889</v>
      </c>
      <c r="E9" s="91">
        <f>'3'!D10</f>
        <v>0</v>
      </c>
      <c r="F9" s="91">
        <f>'4'!D10</f>
        <v>0</v>
      </c>
      <c r="G9" s="91">
        <f>'5'!D10</f>
        <v>27.444444444444443</v>
      </c>
      <c r="H9" s="91">
        <f>' 6'!D10</f>
        <v>0</v>
      </c>
      <c r="I9" s="91">
        <f>'7'!D10</f>
        <v>0</v>
      </c>
      <c r="J9" s="91">
        <f>'8'!D10</f>
        <v>1.6666666666666667</v>
      </c>
      <c r="K9" s="91">
        <f>'9'!D10</f>
        <v>0</v>
      </c>
      <c r="L9" s="91">
        <f>'10'!D10</f>
        <v>9.3333333333333339</v>
      </c>
      <c r="M9" s="91">
        <f>'11'!D10</f>
        <v>8.1111111111111107</v>
      </c>
      <c r="N9" s="91">
        <f>'12'!D10</f>
        <v>13.111111111111111</v>
      </c>
      <c r="O9" s="91">
        <f>'13'!D10</f>
        <v>1.6666666666666667</v>
      </c>
      <c r="P9" s="91">
        <f>'14'!D10</f>
        <v>0</v>
      </c>
      <c r="Q9" s="91">
        <f>'15'!D10</f>
        <v>0</v>
      </c>
      <c r="R9" s="91">
        <f>'16'!D10</f>
        <v>1.6666666666666667</v>
      </c>
      <c r="S9" s="91">
        <f>'17'!D10</f>
        <v>4.8888888888888893</v>
      </c>
      <c r="T9" s="91">
        <f>'18'!D10</f>
        <v>0</v>
      </c>
      <c r="U9" s="91">
        <f>'19'!D10</f>
        <v>1.5555555555555556</v>
      </c>
      <c r="V9" s="91">
        <f>'20'!D10</f>
        <v>0</v>
      </c>
      <c r="W9" s="91">
        <f>'21'!D10</f>
        <v>9.6666666666666661</v>
      </c>
      <c r="X9" s="91">
        <f>'22'!D10</f>
        <v>0</v>
      </c>
      <c r="Y9" s="91">
        <f>'23'!D10</f>
        <v>3.3333333333333335</v>
      </c>
      <c r="Z9" s="91">
        <f>'24'!D10</f>
        <v>0</v>
      </c>
      <c r="AA9" s="91">
        <f>'25'!D10</f>
        <v>3.3333333333333335</v>
      </c>
      <c r="AB9" s="91">
        <f>'26'!D10</f>
        <v>11.666666666666666</v>
      </c>
      <c r="AC9" s="91">
        <f>'27'!D10</f>
        <v>1.5555555555555556</v>
      </c>
      <c r="AD9" s="91">
        <f>'28'!D10</f>
        <v>3.3333333333333335</v>
      </c>
      <c r="AE9" s="91">
        <f>'29'!D10</f>
        <v>0</v>
      </c>
      <c r="AF9" s="91">
        <f>'30'!D10</f>
        <v>0</v>
      </c>
      <c r="AG9" s="92">
        <f>'31'!D10</f>
        <v>1114.8888888888889</v>
      </c>
      <c r="AI9" s="58">
        <f t="shared" si="0"/>
        <v>1231.7777777777778</v>
      </c>
    </row>
    <row r="10" spans="1:35">
      <c r="B10" s="12" t="s">
        <v>30</v>
      </c>
      <c r="C10" s="9">
        <f>'1'!D11</f>
        <v>400.66666666666669</v>
      </c>
      <c r="D10" s="9">
        <f>'2'!D11</f>
        <v>488.5555555555556</v>
      </c>
      <c r="E10" s="9">
        <f>'3'!D11</f>
        <v>579.66666666666663</v>
      </c>
      <c r="F10" s="9">
        <f>'4'!D11</f>
        <v>576.88888888888891</v>
      </c>
      <c r="G10" s="9">
        <f>'5'!D11</f>
        <v>528</v>
      </c>
      <c r="H10" s="9">
        <f>' 6'!D11</f>
        <v>167.22222222222223</v>
      </c>
      <c r="I10" s="9">
        <f>'7'!D11</f>
        <v>92.444444444444443</v>
      </c>
      <c r="J10" s="9">
        <f>'8'!D11</f>
        <v>252.55555555555554</v>
      </c>
      <c r="K10" s="9">
        <f>'9'!D11</f>
        <v>36.666666666666664</v>
      </c>
      <c r="L10" s="9">
        <f>'10'!D11</f>
        <v>372.44444444444446</v>
      </c>
      <c r="M10" s="9">
        <f>'11'!D11</f>
        <v>364.77777777777771</v>
      </c>
      <c r="N10" s="9">
        <f>'12'!D11</f>
        <v>285.66666666666663</v>
      </c>
      <c r="O10" s="9">
        <f>'13'!D11</f>
        <v>122.22222222222223</v>
      </c>
      <c r="P10" s="9">
        <f>'14'!D11</f>
        <v>148.44444444444446</v>
      </c>
      <c r="Q10" s="9">
        <f>'15'!D11</f>
        <v>215.33333333333334</v>
      </c>
      <c r="R10" s="9">
        <f>'16'!D11</f>
        <v>264.88888888888886</v>
      </c>
      <c r="S10" s="9">
        <f>'17'!D11</f>
        <v>550.66666666666674</v>
      </c>
      <c r="T10" s="9">
        <f>'18'!D11</f>
        <v>403.44444444444446</v>
      </c>
      <c r="U10" s="9">
        <f>'19'!D11</f>
        <v>331.11111111111109</v>
      </c>
      <c r="V10" s="9">
        <f>'20'!D11</f>
        <v>67.444444444444443</v>
      </c>
      <c r="W10" s="9">
        <f>'21'!D11</f>
        <v>206.44444444444443</v>
      </c>
      <c r="X10" s="9">
        <f>'22'!D11</f>
        <v>188.66666666666666</v>
      </c>
      <c r="Y10" s="9">
        <f>'23'!D11</f>
        <v>191.33333333333334</v>
      </c>
      <c r="Z10" s="9">
        <f>'24'!D11</f>
        <v>479.11111111111114</v>
      </c>
      <c r="AA10" s="9">
        <f>'25'!D11</f>
        <v>547.55555555555566</v>
      </c>
      <c r="AB10" s="9">
        <f>'26'!D11</f>
        <v>1101.4444444444446</v>
      </c>
      <c r="AC10" s="9">
        <f>'27'!D11</f>
        <v>194.22222222222223</v>
      </c>
      <c r="AD10" s="9">
        <f>'28'!D11</f>
        <v>180.44444444444446</v>
      </c>
      <c r="AE10" s="9">
        <f>'29'!D11</f>
        <v>40.777777777777779</v>
      </c>
      <c r="AF10" s="9">
        <f>'30'!D11</f>
        <v>228.55555555555554</v>
      </c>
      <c r="AG10" s="9">
        <f>'31'!D11</f>
        <v>1555.6666666666667</v>
      </c>
      <c r="AI10" s="94">
        <f>SUM(C10:AG10)</f>
        <v>11163.333333333334</v>
      </c>
    </row>
    <row r="11" spans="1:35" ht="24" thickBot="1">
      <c r="A11" s="121" t="s">
        <v>2</v>
      </c>
      <c r="B11" s="121"/>
      <c r="C11" s="40" t="str">
        <f>'1'!D12</f>
        <v>$</v>
      </c>
      <c r="D11" s="40" t="str">
        <f>'2'!D12</f>
        <v>$</v>
      </c>
      <c r="E11" s="40" t="str">
        <f>'3'!D12</f>
        <v>$</v>
      </c>
      <c r="F11" s="40" t="str">
        <f>'4'!D12</f>
        <v>$</v>
      </c>
      <c r="G11" s="40" t="str">
        <f>'5'!D12</f>
        <v>$</v>
      </c>
      <c r="H11" s="40" t="str">
        <f>' 6'!D12</f>
        <v>$</v>
      </c>
      <c r="I11" s="40" t="str">
        <f>'7'!D12</f>
        <v>$</v>
      </c>
      <c r="J11" s="40" t="str">
        <f>'8'!D12</f>
        <v>$</v>
      </c>
      <c r="K11" s="40" t="str">
        <f>'9'!D12</f>
        <v>$</v>
      </c>
      <c r="L11" s="40" t="str">
        <f>'10'!D12</f>
        <v>$</v>
      </c>
      <c r="M11" s="40" t="str">
        <f>'11'!D12</f>
        <v>$</v>
      </c>
      <c r="N11" s="40" t="str">
        <f>'12'!D12</f>
        <v>$</v>
      </c>
      <c r="O11" s="40" t="str">
        <f>'13'!D12</f>
        <v>$</v>
      </c>
      <c r="P11" s="40" t="str">
        <f>'14'!D12</f>
        <v>$</v>
      </c>
      <c r="Q11" s="40" t="str">
        <f>'15'!D12</f>
        <v>$</v>
      </c>
      <c r="R11" s="40" t="str">
        <f>'16'!D12</f>
        <v>$</v>
      </c>
      <c r="S11" s="40" t="str">
        <f>'17'!D12</f>
        <v>$</v>
      </c>
      <c r="T11" s="40" t="str">
        <f>'18'!D12</f>
        <v>$</v>
      </c>
      <c r="U11" s="40" t="str">
        <f>'19'!D12</f>
        <v>$</v>
      </c>
      <c r="V11" s="40" t="str">
        <f>'20'!D12</f>
        <v>$</v>
      </c>
      <c r="W11" s="40" t="str">
        <f>'21'!D12</f>
        <v>$</v>
      </c>
      <c r="X11" s="40" t="str">
        <f>'22'!D12</f>
        <v>$</v>
      </c>
      <c r="Y11" s="40" t="str">
        <f>'23'!D12</f>
        <v>$</v>
      </c>
      <c r="Z11" s="40" t="str">
        <f>'24'!D12</f>
        <v>$</v>
      </c>
      <c r="AA11" s="40" t="str">
        <f>'25'!D12</f>
        <v>$</v>
      </c>
      <c r="AB11" s="40" t="str">
        <f>'26'!D12</f>
        <v>$</v>
      </c>
      <c r="AC11" s="40" t="str">
        <f>'27'!D12</f>
        <v>$</v>
      </c>
      <c r="AD11" s="40" t="str">
        <f>'28'!D12</f>
        <v>$</v>
      </c>
      <c r="AE11" s="40" t="str">
        <f>'29'!D12</f>
        <v>$</v>
      </c>
      <c r="AF11" s="40" t="str">
        <f>'30'!D12</f>
        <v>$</v>
      </c>
      <c r="AG11" s="40" t="str">
        <f>'31'!D12</f>
        <v>$</v>
      </c>
      <c r="AH11" s="39" t="s">
        <v>39</v>
      </c>
      <c r="AI11" s="58">
        <f t="shared" si="0"/>
        <v>0</v>
      </c>
    </row>
    <row r="12" spans="1:35" ht="21.5" thickBot="1">
      <c r="A12" s="33" t="s">
        <v>4</v>
      </c>
      <c r="B12" s="3" t="s">
        <v>5</v>
      </c>
      <c r="C12" s="69">
        <f>'1'!D13</f>
        <v>0</v>
      </c>
      <c r="D12" s="70">
        <f>'2'!D13</f>
        <v>51</v>
      </c>
      <c r="E12" s="70">
        <f>'3'!D13</f>
        <v>0</v>
      </c>
      <c r="F12" s="70">
        <f>'4'!D13</f>
        <v>0</v>
      </c>
      <c r="G12" s="70">
        <f>'5'!D13</f>
        <v>0</v>
      </c>
      <c r="H12" s="70">
        <f>' 6'!D13</f>
        <v>0</v>
      </c>
      <c r="I12" s="70">
        <f>'7'!D13</f>
        <v>0</v>
      </c>
      <c r="J12" s="70">
        <f>'8'!D13</f>
        <v>0</v>
      </c>
      <c r="K12" s="70">
        <f>'9'!D13</f>
        <v>0</v>
      </c>
      <c r="L12" s="70">
        <f>'10'!D13</f>
        <v>47</v>
      </c>
      <c r="M12" s="70">
        <f>'11'!D13</f>
        <v>0</v>
      </c>
      <c r="N12" s="70">
        <f>'12'!D13</f>
        <v>0</v>
      </c>
      <c r="O12" s="70">
        <f>'13'!D13</f>
        <v>0</v>
      </c>
      <c r="P12" s="70">
        <f>'14'!D13</f>
        <v>0</v>
      </c>
      <c r="Q12" s="70">
        <f>'15'!D13</f>
        <v>0</v>
      </c>
      <c r="R12" s="70">
        <f>'16'!D13</f>
        <v>0</v>
      </c>
      <c r="S12" s="70">
        <f>'17'!D13</f>
        <v>0</v>
      </c>
      <c r="T12" s="70">
        <f>'18'!D13</f>
        <v>53</v>
      </c>
      <c r="U12" s="70">
        <f>'19'!D13</f>
        <v>0</v>
      </c>
      <c r="V12" s="70">
        <f>'20'!D13</f>
        <v>0</v>
      </c>
      <c r="W12" s="70">
        <f>'21'!D13</f>
        <v>0</v>
      </c>
      <c r="X12" s="70">
        <f>'22'!D13</f>
        <v>0</v>
      </c>
      <c r="Y12" s="70">
        <f>'23'!D13</f>
        <v>0</v>
      </c>
      <c r="Z12" s="70">
        <f>'24'!D13</f>
        <v>0</v>
      </c>
      <c r="AA12" s="70">
        <f>'25'!D13</f>
        <v>0</v>
      </c>
      <c r="AB12" s="70">
        <f>'26'!D13</f>
        <v>24.888888888888889</v>
      </c>
      <c r="AC12" s="70">
        <f>'27'!D13</f>
        <v>0</v>
      </c>
      <c r="AD12" s="70">
        <f>'28'!D13</f>
        <v>0</v>
      </c>
      <c r="AE12" s="70">
        <f>'29'!D13</f>
        <v>0</v>
      </c>
      <c r="AF12" s="70">
        <f>'30'!D13</f>
        <v>25</v>
      </c>
      <c r="AG12" s="71">
        <f>'31'!D13</f>
        <v>0</v>
      </c>
      <c r="AH12" s="39" t="e">
        <f>IF(#REF!&lt;&gt;0,0,1)</f>
        <v>#REF!</v>
      </c>
      <c r="AI12" s="58">
        <f t="shared" si="0"/>
        <v>200.88888888888889</v>
      </c>
    </row>
    <row r="13" spans="1:35">
      <c r="A13" s="2"/>
      <c r="B13" s="3" t="s">
        <v>6</v>
      </c>
      <c r="C13" s="72">
        <f>'1'!D14</f>
        <v>0</v>
      </c>
      <c r="D13" s="73">
        <f>'2'!D14</f>
        <v>0</v>
      </c>
      <c r="E13" s="73">
        <f>'3'!D14</f>
        <v>0</v>
      </c>
      <c r="F13" s="73">
        <f>'4'!D14</f>
        <v>0</v>
      </c>
      <c r="G13" s="73">
        <f>'5'!D14</f>
        <v>0</v>
      </c>
      <c r="H13" s="73">
        <f>' 6'!D14</f>
        <v>0</v>
      </c>
      <c r="I13" s="73">
        <f>'7'!D14</f>
        <v>0</v>
      </c>
      <c r="J13" s="73">
        <f>'8'!D14</f>
        <v>0</v>
      </c>
      <c r="K13" s="73">
        <f>'9'!D14</f>
        <v>0</v>
      </c>
      <c r="L13" s="73">
        <f>'10'!D14</f>
        <v>0</v>
      </c>
      <c r="M13" s="73">
        <f>'11'!D14</f>
        <v>0</v>
      </c>
      <c r="N13" s="73">
        <f>'12'!D14</f>
        <v>0</v>
      </c>
      <c r="O13" s="73">
        <f>'13'!D14</f>
        <v>0</v>
      </c>
      <c r="P13" s="73">
        <f>'14'!D14</f>
        <v>0</v>
      </c>
      <c r="Q13" s="73">
        <f>'15'!D14</f>
        <v>0</v>
      </c>
      <c r="R13" s="73">
        <f>'16'!D14</f>
        <v>0</v>
      </c>
      <c r="S13" s="73">
        <f>'17'!D14</f>
        <v>0</v>
      </c>
      <c r="T13" s="73">
        <f>'18'!D14</f>
        <v>595</v>
      </c>
      <c r="U13" s="73">
        <f>'19'!D14</f>
        <v>0</v>
      </c>
      <c r="V13" s="73">
        <f>'20'!D14</f>
        <v>0</v>
      </c>
      <c r="W13" s="73">
        <f>'21'!D14</f>
        <v>0</v>
      </c>
      <c r="X13" s="73">
        <f>'22'!D14</f>
        <v>0</v>
      </c>
      <c r="Y13" s="73">
        <f>'23'!D14</f>
        <v>0</v>
      </c>
      <c r="Z13" s="73">
        <f>'24'!D14</f>
        <v>0</v>
      </c>
      <c r="AA13" s="73">
        <f>'25'!D14</f>
        <v>0</v>
      </c>
      <c r="AB13" s="73">
        <f>'26'!D14</f>
        <v>0</v>
      </c>
      <c r="AC13" s="73">
        <f>'27'!D14</f>
        <v>0</v>
      </c>
      <c r="AD13" s="73">
        <f>'28'!D14</f>
        <v>0</v>
      </c>
      <c r="AE13" s="73">
        <f>'29'!D14</f>
        <v>0</v>
      </c>
      <c r="AF13" s="73">
        <f>'30'!D14</f>
        <v>0</v>
      </c>
      <c r="AG13" s="74">
        <f>'31'!D14</f>
        <v>0</v>
      </c>
      <c r="AH13" s="39" t="e">
        <f>IF(#REF!&lt;&gt;0,0,1)</f>
        <v>#REF!</v>
      </c>
      <c r="AI13" s="58">
        <f t="shared" si="0"/>
        <v>595</v>
      </c>
    </row>
    <row r="14" spans="1:35">
      <c r="A14" s="2"/>
      <c r="B14" s="3" t="s">
        <v>7</v>
      </c>
      <c r="C14" s="72">
        <f>'1'!D15</f>
        <v>2.2222222222222223</v>
      </c>
      <c r="D14" s="73">
        <f>'2'!D15</f>
        <v>0</v>
      </c>
      <c r="E14" s="73">
        <f>'3'!D15</f>
        <v>0</v>
      </c>
      <c r="F14" s="73">
        <f>'4'!D15</f>
        <v>0</v>
      </c>
      <c r="G14" s="73">
        <f>'5'!D15</f>
        <v>0</v>
      </c>
      <c r="H14" s="73">
        <f>' 6'!D15</f>
        <v>4.4444444444444446</v>
      </c>
      <c r="I14" s="73">
        <f>'7'!D15</f>
        <v>0</v>
      </c>
      <c r="J14" s="73">
        <f>'8'!D15</f>
        <v>0</v>
      </c>
      <c r="K14" s="73">
        <f>'9'!D15</f>
        <v>0</v>
      </c>
      <c r="L14" s="73">
        <f>'10'!D15</f>
        <v>0</v>
      </c>
      <c r="M14" s="73">
        <f>'11'!D15</f>
        <v>0</v>
      </c>
      <c r="N14" s="73">
        <f>'12'!D15</f>
        <v>0</v>
      </c>
      <c r="O14" s="73">
        <f>'13'!D15</f>
        <v>0</v>
      </c>
      <c r="P14" s="73">
        <f>'14'!D15</f>
        <v>0</v>
      </c>
      <c r="Q14" s="73">
        <f>'15'!D15</f>
        <v>0</v>
      </c>
      <c r="R14" s="73">
        <f>'16'!D15</f>
        <v>0</v>
      </c>
      <c r="S14" s="73">
        <f>'17'!D15</f>
        <v>0</v>
      </c>
      <c r="T14" s="73">
        <f>'18'!D15</f>
        <v>0</v>
      </c>
      <c r="U14" s="73">
        <f>'19'!D15</f>
        <v>0</v>
      </c>
      <c r="V14" s="73">
        <f>'20'!D15</f>
        <v>0</v>
      </c>
      <c r="W14" s="73">
        <f>'21'!D15</f>
        <v>0</v>
      </c>
      <c r="X14" s="73">
        <f>'22'!D15</f>
        <v>0</v>
      </c>
      <c r="Y14" s="73">
        <f>'23'!D15</f>
        <v>20</v>
      </c>
      <c r="Z14" s="73">
        <f>'24'!D15</f>
        <v>0</v>
      </c>
      <c r="AA14" s="73">
        <f>'25'!D15</f>
        <v>5.5555555555555554</v>
      </c>
      <c r="AB14" s="73">
        <f>'26'!D15</f>
        <v>0</v>
      </c>
      <c r="AC14" s="73">
        <f>'27'!D15</f>
        <v>0</v>
      </c>
      <c r="AD14" s="73">
        <f>'28'!D15</f>
        <v>0</v>
      </c>
      <c r="AE14" s="73">
        <f>'29'!D15</f>
        <v>26</v>
      </c>
      <c r="AF14" s="73">
        <f>'30'!D15</f>
        <v>0</v>
      </c>
      <c r="AG14" s="74">
        <f>'31'!D15</f>
        <v>0</v>
      </c>
      <c r="AH14" s="39" t="e">
        <f>IF(#REF!&lt;&gt;0,0,1)</f>
        <v>#REF!</v>
      </c>
      <c r="AI14" s="58">
        <f t="shared" si="0"/>
        <v>58.222222222222221</v>
      </c>
    </row>
    <row r="15" spans="1:35" ht="21.5" thickBot="1">
      <c r="A15" s="34" t="s">
        <v>8</v>
      </c>
      <c r="B15" s="5" t="s">
        <v>9</v>
      </c>
      <c r="C15" s="75">
        <f>'1'!D16</f>
        <v>2.7777777777777777</v>
      </c>
      <c r="D15" s="76">
        <f>'2'!D16</f>
        <v>17.777777777777779</v>
      </c>
      <c r="E15" s="76">
        <f>'3'!D16</f>
        <v>0</v>
      </c>
      <c r="F15" s="76">
        <f>'4'!D16</f>
        <v>18.333333333333332</v>
      </c>
      <c r="G15" s="76">
        <f>'5'!D16</f>
        <v>0</v>
      </c>
      <c r="H15" s="76">
        <f>' 6'!D16</f>
        <v>111.11111111111111</v>
      </c>
      <c r="I15" s="76">
        <f>'7'!D16</f>
        <v>0</v>
      </c>
      <c r="J15" s="76">
        <f>'8'!D16</f>
        <v>0</v>
      </c>
      <c r="K15" s="76">
        <f>'9'!D16</f>
        <v>0</v>
      </c>
      <c r="L15" s="76">
        <f>'10'!D16</f>
        <v>5.5555555555555554</v>
      </c>
      <c r="M15" s="76">
        <f>'11'!D16</f>
        <v>0</v>
      </c>
      <c r="N15" s="76">
        <f>'12'!D16</f>
        <v>8.8888888888888893</v>
      </c>
      <c r="O15" s="76">
        <f>'13'!D16</f>
        <v>22.222222222222221</v>
      </c>
      <c r="P15" s="76">
        <f>'14'!D16</f>
        <v>0</v>
      </c>
      <c r="Q15" s="76">
        <f>'15'!D16</f>
        <v>4.4444444444444446</v>
      </c>
      <c r="R15" s="76">
        <f>'16'!D16</f>
        <v>0</v>
      </c>
      <c r="S15" s="76">
        <f>'17'!D16</f>
        <v>5.5555555555555554</v>
      </c>
      <c r="T15" s="76">
        <f>'18'!D16</f>
        <v>18.888888888888889</v>
      </c>
      <c r="U15" s="76">
        <f>'19'!D16</f>
        <v>3.3333333333333335</v>
      </c>
      <c r="V15" s="76">
        <f>'20'!D16</f>
        <v>5.8888888888888893</v>
      </c>
      <c r="W15" s="76">
        <f>'21'!D16</f>
        <v>0</v>
      </c>
      <c r="X15" s="76">
        <f>'22'!D16</f>
        <v>0</v>
      </c>
      <c r="Y15" s="76">
        <f>'23'!D16</f>
        <v>11.111111111111111</v>
      </c>
      <c r="Z15" s="76">
        <f>'24'!D16</f>
        <v>0</v>
      </c>
      <c r="AA15" s="76">
        <f>'25'!D16</f>
        <v>0</v>
      </c>
      <c r="AB15" s="76">
        <f>'26'!D16</f>
        <v>0</v>
      </c>
      <c r="AC15" s="76">
        <f>'27'!D16</f>
        <v>2.2222222222222223</v>
      </c>
      <c r="AD15" s="76">
        <f>'28'!D16</f>
        <v>0</v>
      </c>
      <c r="AE15" s="76">
        <f>'29'!D16</f>
        <v>0</v>
      </c>
      <c r="AF15" s="76">
        <f>'30'!D16</f>
        <v>0</v>
      </c>
      <c r="AG15" s="77">
        <f>'31'!D16</f>
        <v>0</v>
      </c>
      <c r="AH15" s="39" t="e">
        <f>IF(#REF!&lt;&gt;0,0,1)</f>
        <v>#REF!</v>
      </c>
      <c r="AI15" s="58">
        <f t="shared" si="0"/>
        <v>238.11111111111111</v>
      </c>
    </row>
    <row r="16" spans="1:35">
      <c r="A16" s="4"/>
      <c r="B16" s="5" t="s">
        <v>10</v>
      </c>
      <c r="C16" s="75">
        <f>'1'!D17</f>
        <v>0</v>
      </c>
      <c r="D16" s="76">
        <f>'2'!D17</f>
        <v>0</v>
      </c>
      <c r="E16" s="76">
        <f>'3'!D17</f>
        <v>0</v>
      </c>
      <c r="F16" s="76">
        <f>'4'!D17</f>
        <v>0</v>
      </c>
      <c r="G16" s="76">
        <f>'5'!D17</f>
        <v>0</v>
      </c>
      <c r="H16" s="76">
        <f>' 6'!D17</f>
        <v>0</v>
      </c>
      <c r="I16" s="76">
        <f>'7'!D17</f>
        <v>145</v>
      </c>
      <c r="J16" s="76">
        <f>'8'!D17</f>
        <v>0</v>
      </c>
      <c r="K16" s="76">
        <f>'9'!D17</f>
        <v>0</v>
      </c>
      <c r="L16" s="76">
        <f>'10'!D17</f>
        <v>0</v>
      </c>
      <c r="M16" s="76">
        <f>'11'!D17</f>
        <v>0</v>
      </c>
      <c r="N16" s="76">
        <f>'12'!D17</f>
        <v>0</v>
      </c>
      <c r="O16" s="76">
        <f>'13'!D17</f>
        <v>0</v>
      </c>
      <c r="P16" s="76">
        <f>'14'!D17</f>
        <v>0</v>
      </c>
      <c r="Q16" s="76">
        <f>'15'!D17</f>
        <v>0</v>
      </c>
      <c r="R16" s="76">
        <f>'16'!D17</f>
        <v>20</v>
      </c>
      <c r="S16" s="76">
        <f>'17'!D17</f>
        <v>0</v>
      </c>
      <c r="T16" s="76">
        <f>'18'!D17</f>
        <v>0</v>
      </c>
      <c r="U16" s="76">
        <f>'19'!D17</f>
        <v>0</v>
      </c>
      <c r="V16" s="76">
        <f>'20'!D17</f>
        <v>14.444444444444445</v>
      </c>
      <c r="W16" s="76">
        <f>'21'!D17</f>
        <v>0</v>
      </c>
      <c r="X16" s="76">
        <f>'22'!D17</f>
        <v>0</v>
      </c>
      <c r="Y16" s="76">
        <f>'23'!D17</f>
        <v>0</v>
      </c>
      <c r="Z16" s="76">
        <f>'24'!D17</f>
        <v>0</v>
      </c>
      <c r="AA16" s="76">
        <f>'25'!D17</f>
        <v>0</v>
      </c>
      <c r="AB16" s="76">
        <f>'26'!D17</f>
        <v>0</v>
      </c>
      <c r="AC16" s="76">
        <f>'27'!D17</f>
        <v>78</v>
      </c>
      <c r="AD16" s="76">
        <f>'28'!D17</f>
        <v>0</v>
      </c>
      <c r="AE16" s="76">
        <f>'29'!D17</f>
        <v>0</v>
      </c>
      <c r="AF16" s="76">
        <f>'30'!D17</f>
        <v>0</v>
      </c>
      <c r="AG16" s="77">
        <f>'31'!D17</f>
        <v>0</v>
      </c>
      <c r="AH16" s="39" t="e">
        <f>IF(#REF!&lt;&gt;0,0,1)</f>
        <v>#REF!</v>
      </c>
      <c r="AI16" s="58">
        <f t="shared" si="0"/>
        <v>257.44444444444446</v>
      </c>
    </row>
    <row r="17" spans="1:35">
      <c r="A17" s="4"/>
      <c r="B17" s="5" t="s">
        <v>11</v>
      </c>
      <c r="C17" s="75">
        <f>'1'!D18</f>
        <v>0</v>
      </c>
      <c r="D17" s="76">
        <f>'2'!D18</f>
        <v>0</v>
      </c>
      <c r="E17" s="76">
        <f>'3'!D18</f>
        <v>0</v>
      </c>
      <c r="F17" s="76">
        <f>'4'!D18</f>
        <v>0</v>
      </c>
      <c r="G17" s="76">
        <f>'5'!D18</f>
        <v>0</v>
      </c>
      <c r="H17" s="76">
        <f>' 6'!D18</f>
        <v>0</v>
      </c>
      <c r="I17" s="76">
        <f>'7'!D18</f>
        <v>0</v>
      </c>
      <c r="J17" s="76">
        <f>'8'!D18</f>
        <v>0</v>
      </c>
      <c r="K17" s="76">
        <f>'9'!D18</f>
        <v>0</v>
      </c>
      <c r="L17" s="76">
        <f>'10'!D18</f>
        <v>0</v>
      </c>
      <c r="M17" s="76">
        <f>'11'!D18</f>
        <v>0</v>
      </c>
      <c r="N17" s="76">
        <f>'12'!D18</f>
        <v>0</v>
      </c>
      <c r="O17" s="76">
        <f>'13'!D18</f>
        <v>0</v>
      </c>
      <c r="P17" s="76">
        <f>'14'!D18</f>
        <v>0</v>
      </c>
      <c r="Q17" s="76">
        <f>'15'!D18</f>
        <v>0</v>
      </c>
      <c r="R17" s="76">
        <f>'16'!D18</f>
        <v>0</v>
      </c>
      <c r="S17" s="76">
        <f>'17'!D18</f>
        <v>0</v>
      </c>
      <c r="T17" s="76">
        <f>'18'!D18</f>
        <v>0</v>
      </c>
      <c r="U17" s="76">
        <f>'19'!D18</f>
        <v>0</v>
      </c>
      <c r="V17" s="76">
        <f>'20'!D18</f>
        <v>0</v>
      </c>
      <c r="W17" s="76">
        <f>'21'!D18</f>
        <v>0</v>
      </c>
      <c r="X17" s="76">
        <f>'22'!D18</f>
        <v>0</v>
      </c>
      <c r="Y17" s="76">
        <f>'23'!D18</f>
        <v>0</v>
      </c>
      <c r="Z17" s="76">
        <f>'24'!D18</f>
        <v>0</v>
      </c>
      <c r="AA17" s="76">
        <f>'25'!D18</f>
        <v>0</v>
      </c>
      <c r="AB17" s="76">
        <f>'26'!D18</f>
        <v>0</v>
      </c>
      <c r="AC17" s="76">
        <f>'27'!D18</f>
        <v>0</v>
      </c>
      <c r="AD17" s="76">
        <f>'28'!D18</f>
        <v>0</v>
      </c>
      <c r="AE17" s="76">
        <f>'29'!D18</f>
        <v>0</v>
      </c>
      <c r="AF17" s="76">
        <f>'30'!D18</f>
        <v>0</v>
      </c>
      <c r="AG17" s="77">
        <f>'31'!D18</f>
        <v>0</v>
      </c>
      <c r="AH17" s="39" t="e">
        <f>IF(#REF!&lt;&gt;0,0,1)</f>
        <v>#REF!</v>
      </c>
      <c r="AI17" s="58">
        <f t="shared" si="0"/>
        <v>0</v>
      </c>
    </row>
    <row r="18" spans="1:35">
      <c r="A18" s="4"/>
      <c r="B18" s="5" t="s">
        <v>12</v>
      </c>
      <c r="C18" s="75">
        <f>'1'!D19</f>
        <v>0</v>
      </c>
      <c r="D18" s="76">
        <f>'2'!D19</f>
        <v>46</v>
      </c>
      <c r="E18" s="76">
        <f>'3'!D19</f>
        <v>0</v>
      </c>
      <c r="F18" s="76">
        <f>'4'!D19</f>
        <v>0</v>
      </c>
      <c r="G18" s="76">
        <f>'5'!D19</f>
        <v>29</v>
      </c>
      <c r="H18" s="76">
        <f>' 6'!D19</f>
        <v>0</v>
      </c>
      <c r="I18" s="76">
        <f>'7'!D19</f>
        <v>0</v>
      </c>
      <c r="J18" s="76">
        <f>'8'!D19</f>
        <v>0</v>
      </c>
      <c r="K18" s="76">
        <f>'9'!D19</f>
        <v>0</v>
      </c>
      <c r="L18" s="76">
        <f>'10'!D19</f>
        <v>55</v>
      </c>
      <c r="M18" s="76">
        <f>'11'!D19</f>
        <v>0</v>
      </c>
      <c r="N18" s="76">
        <f>'12'!D19</f>
        <v>10</v>
      </c>
      <c r="O18" s="76">
        <f>'13'!D19</f>
        <v>0</v>
      </c>
      <c r="P18" s="76">
        <f>'14'!D19</f>
        <v>0</v>
      </c>
      <c r="Q18" s="76">
        <f>'15'!D19</f>
        <v>0</v>
      </c>
      <c r="R18" s="76">
        <f>'16'!D19</f>
        <v>0</v>
      </c>
      <c r="S18" s="76">
        <f>'17'!D19</f>
        <v>0</v>
      </c>
      <c r="T18" s="76">
        <f>'18'!D19</f>
        <v>0</v>
      </c>
      <c r="U18" s="76">
        <f>'19'!D19</f>
        <v>108</v>
      </c>
      <c r="V18" s="76">
        <f>'20'!D19</f>
        <v>0</v>
      </c>
      <c r="W18" s="76">
        <f>'21'!D19</f>
        <v>11.888888888888889</v>
      </c>
      <c r="X18" s="76">
        <f>'22'!D19</f>
        <v>0</v>
      </c>
      <c r="Y18" s="76">
        <f>'23'!D19</f>
        <v>0</v>
      </c>
      <c r="Z18" s="76">
        <f>'24'!D19</f>
        <v>0</v>
      </c>
      <c r="AA18" s="76">
        <f>'25'!D19</f>
        <v>18.888888888888889</v>
      </c>
      <c r="AB18" s="76">
        <f>'26'!D19</f>
        <v>47</v>
      </c>
      <c r="AC18" s="76">
        <f>'27'!D19</f>
        <v>0</v>
      </c>
      <c r="AD18" s="76">
        <f>'28'!D19</f>
        <v>0</v>
      </c>
      <c r="AE18" s="76">
        <f>'29'!D19</f>
        <v>0</v>
      </c>
      <c r="AF18" s="76">
        <f>'30'!D19</f>
        <v>0</v>
      </c>
      <c r="AG18" s="77">
        <f>'31'!D19</f>
        <v>0</v>
      </c>
      <c r="AH18" s="39" t="e">
        <f>IF(#REF!&lt;&gt;0,0,1)</f>
        <v>#REF!</v>
      </c>
      <c r="AI18" s="58">
        <f t="shared" si="0"/>
        <v>325.77777777777783</v>
      </c>
    </row>
    <row r="19" spans="1:35">
      <c r="A19" s="4"/>
      <c r="B19" s="5" t="s">
        <v>13</v>
      </c>
      <c r="C19" s="75">
        <f>'1'!D20</f>
        <v>0</v>
      </c>
      <c r="D19" s="76">
        <f>'2'!D20</f>
        <v>0</v>
      </c>
      <c r="E19" s="76">
        <f>'3'!D20</f>
        <v>0</v>
      </c>
      <c r="F19" s="76">
        <f>'4'!D20</f>
        <v>0</v>
      </c>
      <c r="G19" s="76">
        <f>'5'!D20</f>
        <v>0</v>
      </c>
      <c r="H19" s="76">
        <f>' 6'!D20</f>
        <v>0</v>
      </c>
      <c r="I19" s="76">
        <f>'7'!D20</f>
        <v>0</v>
      </c>
      <c r="J19" s="76">
        <f>'8'!D20</f>
        <v>0</v>
      </c>
      <c r="K19" s="76">
        <f>'9'!D20</f>
        <v>0</v>
      </c>
      <c r="L19" s="76">
        <f>'10'!D20</f>
        <v>0</v>
      </c>
      <c r="M19" s="76">
        <f>'11'!D20</f>
        <v>0</v>
      </c>
      <c r="N19" s="76">
        <f>'12'!D20</f>
        <v>0</v>
      </c>
      <c r="O19" s="76">
        <f>'13'!D20</f>
        <v>0</v>
      </c>
      <c r="P19" s="76">
        <f>'14'!D20</f>
        <v>0</v>
      </c>
      <c r="Q19" s="76">
        <f>'15'!D20</f>
        <v>0</v>
      </c>
      <c r="R19" s="76">
        <f>'16'!D20</f>
        <v>0</v>
      </c>
      <c r="S19" s="76">
        <f>'17'!D20</f>
        <v>0</v>
      </c>
      <c r="T19" s="76">
        <f>'18'!D20</f>
        <v>0</v>
      </c>
      <c r="U19" s="76">
        <f>'19'!D20</f>
        <v>0</v>
      </c>
      <c r="V19" s="76">
        <f>'20'!D20</f>
        <v>0</v>
      </c>
      <c r="W19" s="76">
        <f>'21'!D20</f>
        <v>0</v>
      </c>
      <c r="X19" s="76">
        <f>'22'!D20</f>
        <v>0</v>
      </c>
      <c r="Y19" s="76">
        <f>'23'!D20</f>
        <v>0</v>
      </c>
      <c r="Z19" s="76">
        <f>'24'!D20</f>
        <v>0</v>
      </c>
      <c r="AA19" s="76">
        <f>'25'!D20</f>
        <v>0</v>
      </c>
      <c r="AB19" s="76">
        <f>'26'!D20</f>
        <v>0</v>
      </c>
      <c r="AC19" s="76">
        <f>'27'!D20</f>
        <v>0</v>
      </c>
      <c r="AD19" s="76">
        <f>'28'!D20</f>
        <v>0</v>
      </c>
      <c r="AE19" s="76">
        <f>'29'!D20</f>
        <v>0</v>
      </c>
      <c r="AF19" s="76">
        <f>'30'!D20</f>
        <v>0</v>
      </c>
      <c r="AG19" s="77">
        <f>'31'!D20</f>
        <v>0</v>
      </c>
      <c r="AH19" s="39" t="e">
        <f>IF(#REF!&lt;&gt;0,0,1)</f>
        <v>#REF!</v>
      </c>
      <c r="AI19" s="58">
        <f t="shared" si="0"/>
        <v>0</v>
      </c>
    </row>
    <row r="20" spans="1:35">
      <c r="A20" s="4"/>
      <c r="B20" s="5" t="s">
        <v>29</v>
      </c>
      <c r="C20" s="75">
        <f>'1'!D21</f>
        <v>0</v>
      </c>
      <c r="D20" s="76">
        <f>'2'!D21</f>
        <v>0</v>
      </c>
      <c r="E20" s="76">
        <f>'3'!D21</f>
        <v>0</v>
      </c>
      <c r="F20" s="76">
        <f>'4'!D21</f>
        <v>0</v>
      </c>
      <c r="G20" s="76">
        <f>'5'!D21</f>
        <v>0</v>
      </c>
      <c r="H20" s="76">
        <f>' 6'!D21</f>
        <v>159</v>
      </c>
      <c r="I20" s="76">
        <f>'7'!D21</f>
        <v>0</v>
      </c>
      <c r="J20" s="76">
        <f>'8'!D21</f>
        <v>0</v>
      </c>
      <c r="K20" s="76">
        <f>'9'!D21</f>
        <v>0</v>
      </c>
      <c r="L20" s="76">
        <f>'10'!D21</f>
        <v>0</v>
      </c>
      <c r="M20" s="76">
        <f>'11'!D21</f>
        <v>0</v>
      </c>
      <c r="N20" s="76">
        <f>'12'!D21</f>
        <v>0</v>
      </c>
      <c r="O20" s="76">
        <f>'13'!D21</f>
        <v>0</v>
      </c>
      <c r="P20" s="76">
        <f>'14'!D21</f>
        <v>0</v>
      </c>
      <c r="Q20" s="76">
        <f>'15'!D21</f>
        <v>18</v>
      </c>
      <c r="R20" s="76">
        <f>'16'!D21</f>
        <v>0</v>
      </c>
      <c r="S20" s="76">
        <f>'17'!D21</f>
        <v>0</v>
      </c>
      <c r="T20" s="76">
        <f>'18'!D21</f>
        <v>20</v>
      </c>
      <c r="U20" s="76">
        <f>'19'!D21</f>
        <v>0</v>
      </c>
      <c r="V20" s="76">
        <f>'20'!D21</f>
        <v>0</v>
      </c>
      <c r="W20" s="76">
        <f>'21'!D21</f>
        <v>0</v>
      </c>
      <c r="X20" s="76">
        <f>'22'!D21</f>
        <v>0</v>
      </c>
      <c r="Y20" s="76">
        <f>'23'!D21</f>
        <v>0</v>
      </c>
      <c r="Z20" s="76">
        <f>'24'!D21</f>
        <v>0</v>
      </c>
      <c r="AA20" s="76">
        <f>'25'!D21</f>
        <v>0</v>
      </c>
      <c r="AB20" s="76">
        <f>'26'!D21</f>
        <v>0</v>
      </c>
      <c r="AC20" s="76">
        <f>'27'!D21</f>
        <v>0</v>
      </c>
      <c r="AD20" s="76">
        <f>'28'!D21</f>
        <v>0</v>
      </c>
      <c r="AE20" s="76">
        <f>'29'!D21</f>
        <v>0</v>
      </c>
      <c r="AF20" s="76">
        <f>'30'!D21</f>
        <v>0</v>
      </c>
      <c r="AG20" s="77">
        <f>'31'!D21</f>
        <v>0</v>
      </c>
      <c r="AH20" s="39" t="e">
        <f>IF(#REF!&lt;&gt;0,0,1)</f>
        <v>#REF!</v>
      </c>
      <c r="AI20" s="58">
        <f t="shared" si="0"/>
        <v>197</v>
      </c>
    </row>
    <row r="21" spans="1:35">
      <c r="A21" s="4"/>
      <c r="B21" s="5" t="s">
        <v>14</v>
      </c>
      <c r="C21" s="75">
        <f>'1'!D22</f>
        <v>0</v>
      </c>
      <c r="D21" s="76">
        <f>'2'!D22</f>
        <v>0</v>
      </c>
      <c r="E21" s="76">
        <f>'3'!D22</f>
        <v>0</v>
      </c>
      <c r="F21" s="76">
        <f>'4'!D22</f>
        <v>0</v>
      </c>
      <c r="G21" s="76">
        <f>'5'!D22</f>
        <v>0</v>
      </c>
      <c r="H21" s="76">
        <f>' 6'!D22</f>
        <v>0</v>
      </c>
      <c r="I21" s="76">
        <f>'7'!D22</f>
        <v>0</v>
      </c>
      <c r="J21" s="76">
        <f>'8'!D22</f>
        <v>0</v>
      </c>
      <c r="K21" s="76">
        <f>'9'!D22</f>
        <v>0</v>
      </c>
      <c r="L21" s="76">
        <f>'10'!D22</f>
        <v>0</v>
      </c>
      <c r="M21" s="76">
        <f>'11'!D22</f>
        <v>0</v>
      </c>
      <c r="N21" s="76">
        <f>'12'!D22</f>
        <v>0</v>
      </c>
      <c r="O21" s="76">
        <f>'13'!D22</f>
        <v>0</v>
      </c>
      <c r="P21" s="76">
        <f>'14'!D22</f>
        <v>0</v>
      </c>
      <c r="Q21" s="76">
        <f>'15'!D22</f>
        <v>0</v>
      </c>
      <c r="R21" s="76">
        <f>'16'!D22</f>
        <v>0</v>
      </c>
      <c r="S21" s="76">
        <f>'17'!D22</f>
        <v>0</v>
      </c>
      <c r="T21" s="76">
        <f>'18'!D22</f>
        <v>0</v>
      </c>
      <c r="U21" s="76">
        <f>'19'!D22</f>
        <v>0</v>
      </c>
      <c r="V21" s="76">
        <f>'20'!D22</f>
        <v>0</v>
      </c>
      <c r="W21" s="76">
        <f>'21'!D22</f>
        <v>0</v>
      </c>
      <c r="X21" s="76">
        <f>'22'!D22</f>
        <v>0</v>
      </c>
      <c r="Y21" s="76">
        <f>'23'!D22</f>
        <v>0</v>
      </c>
      <c r="Z21" s="76">
        <f>'24'!D22</f>
        <v>0</v>
      </c>
      <c r="AA21" s="76">
        <f>'25'!D22</f>
        <v>0</v>
      </c>
      <c r="AB21" s="76">
        <f>'26'!D22</f>
        <v>0</v>
      </c>
      <c r="AC21" s="76">
        <f>'27'!D22</f>
        <v>0</v>
      </c>
      <c r="AD21" s="76">
        <f>'28'!D22</f>
        <v>0</v>
      </c>
      <c r="AE21" s="76">
        <f>'29'!D22</f>
        <v>0</v>
      </c>
      <c r="AF21" s="76">
        <f>'30'!D22</f>
        <v>20</v>
      </c>
      <c r="AG21" s="77">
        <f>'31'!D22</f>
        <v>0</v>
      </c>
      <c r="AH21" s="39" t="e">
        <f>IF(#REF!&lt;&gt;0,0,1)</f>
        <v>#REF!</v>
      </c>
      <c r="AI21" s="58">
        <f t="shared" si="0"/>
        <v>20</v>
      </c>
    </row>
    <row r="22" spans="1:35">
      <c r="A22" s="4"/>
      <c r="B22" s="5" t="s">
        <v>15</v>
      </c>
      <c r="C22" s="75">
        <f>'1'!D23</f>
        <v>0</v>
      </c>
      <c r="D22" s="76">
        <f>'2'!D23</f>
        <v>0</v>
      </c>
      <c r="E22" s="76">
        <f>'3'!D23</f>
        <v>0</v>
      </c>
      <c r="F22" s="76">
        <f>'4'!D23</f>
        <v>0</v>
      </c>
      <c r="G22" s="76">
        <f>'5'!D23</f>
        <v>0</v>
      </c>
      <c r="H22" s="76">
        <f>' 6'!D23</f>
        <v>0</v>
      </c>
      <c r="I22" s="76">
        <f>'7'!D23</f>
        <v>0</v>
      </c>
      <c r="J22" s="76">
        <f>'8'!D23</f>
        <v>0</v>
      </c>
      <c r="K22" s="76">
        <f>'9'!D23</f>
        <v>0</v>
      </c>
      <c r="L22" s="76">
        <f>'10'!D23</f>
        <v>0</v>
      </c>
      <c r="M22" s="76">
        <f>'11'!D23</f>
        <v>0</v>
      </c>
      <c r="N22" s="76">
        <f>'12'!D23</f>
        <v>0</v>
      </c>
      <c r="O22" s="76">
        <f>'13'!D23</f>
        <v>0</v>
      </c>
      <c r="P22" s="76">
        <f>'14'!D23</f>
        <v>0</v>
      </c>
      <c r="Q22" s="76">
        <f>'15'!D23</f>
        <v>0</v>
      </c>
      <c r="R22" s="76">
        <f>'16'!D23</f>
        <v>0</v>
      </c>
      <c r="S22" s="76">
        <f>'17'!D23</f>
        <v>0</v>
      </c>
      <c r="T22" s="76">
        <f>'18'!D23</f>
        <v>0</v>
      </c>
      <c r="U22" s="76">
        <f>'19'!D23</f>
        <v>0</v>
      </c>
      <c r="V22" s="76">
        <f>'20'!D23</f>
        <v>69</v>
      </c>
      <c r="W22" s="76">
        <f>'21'!D23</f>
        <v>0</v>
      </c>
      <c r="X22" s="76">
        <f>'22'!D23</f>
        <v>0</v>
      </c>
      <c r="Y22" s="76">
        <f>'23'!D23</f>
        <v>0</v>
      </c>
      <c r="Z22" s="76">
        <f>'24'!D23</f>
        <v>0</v>
      </c>
      <c r="AA22" s="76">
        <f>'25'!D23</f>
        <v>0</v>
      </c>
      <c r="AB22" s="76">
        <f>'26'!D23</f>
        <v>0</v>
      </c>
      <c r="AC22" s="76">
        <f>'27'!D23</f>
        <v>0</v>
      </c>
      <c r="AD22" s="76">
        <f>'28'!D23</f>
        <v>0</v>
      </c>
      <c r="AE22" s="76">
        <f>'29'!D23</f>
        <v>0</v>
      </c>
      <c r="AF22" s="76">
        <f>'30'!D23</f>
        <v>0</v>
      </c>
      <c r="AG22" s="77">
        <f>'31'!D23</f>
        <v>0</v>
      </c>
      <c r="AH22" s="39" t="e">
        <f>IF(#REF!&lt;&gt;0,0,1)</f>
        <v>#REF!</v>
      </c>
      <c r="AI22" s="58">
        <f t="shared" si="0"/>
        <v>69</v>
      </c>
    </row>
    <row r="23" spans="1:35">
      <c r="A23" s="4"/>
      <c r="B23" s="5" t="s">
        <v>16</v>
      </c>
      <c r="C23" s="75">
        <f>'1'!D24</f>
        <v>0</v>
      </c>
      <c r="D23" s="76">
        <f>'2'!D24</f>
        <v>0</v>
      </c>
      <c r="E23" s="76">
        <f>'3'!D24</f>
        <v>0</v>
      </c>
      <c r="F23" s="76">
        <f>'4'!D24</f>
        <v>0</v>
      </c>
      <c r="G23" s="76">
        <f>'5'!D24</f>
        <v>0</v>
      </c>
      <c r="H23" s="76">
        <f>' 6'!D24</f>
        <v>0</v>
      </c>
      <c r="I23" s="76">
        <f>'7'!D24</f>
        <v>0</v>
      </c>
      <c r="J23" s="76">
        <f>'8'!D24</f>
        <v>0</v>
      </c>
      <c r="K23" s="76">
        <f>'9'!D24</f>
        <v>21.111111111111111</v>
      </c>
      <c r="L23" s="76">
        <f>'10'!D24</f>
        <v>20</v>
      </c>
      <c r="M23" s="76">
        <f>'11'!D24</f>
        <v>0</v>
      </c>
      <c r="N23" s="76">
        <f>'12'!D24</f>
        <v>0</v>
      </c>
      <c r="O23" s="76">
        <f>'13'!D24</f>
        <v>0</v>
      </c>
      <c r="P23" s="76">
        <f>'14'!D24</f>
        <v>6.1111111111111107</v>
      </c>
      <c r="Q23" s="76">
        <f>'15'!D24</f>
        <v>0</v>
      </c>
      <c r="R23" s="76">
        <f>'16'!D24</f>
        <v>0</v>
      </c>
      <c r="S23" s="76">
        <f>'17'!D24</f>
        <v>0</v>
      </c>
      <c r="T23" s="76">
        <f>'18'!D24</f>
        <v>0</v>
      </c>
      <c r="U23" s="76">
        <f>'19'!D24</f>
        <v>0</v>
      </c>
      <c r="V23" s="76">
        <f>'20'!D24</f>
        <v>0</v>
      </c>
      <c r="W23" s="76">
        <f>'21'!D24</f>
        <v>0</v>
      </c>
      <c r="X23" s="76">
        <f>'22'!D24</f>
        <v>0</v>
      </c>
      <c r="Y23" s="76">
        <f>'23'!D24</f>
        <v>21.1111</v>
      </c>
      <c r="Z23" s="76">
        <f>'24'!D24</f>
        <v>0</v>
      </c>
      <c r="AA23" s="76">
        <f>'25'!D24</f>
        <v>30</v>
      </c>
      <c r="AB23" s="76">
        <f>'26'!D24</f>
        <v>0</v>
      </c>
      <c r="AC23" s="76">
        <f>'27'!D24</f>
        <v>0</v>
      </c>
      <c r="AD23" s="76">
        <f>'28'!D24</f>
        <v>0</v>
      </c>
      <c r="AE23" s="76">
        <f>'29'!D24</f>
        <v>0</v>
      </c>
      <c r="AF23" s="76">
        <f>'30'!D24</f>
        <v>0</v>
      </c>
      <c r="AG23" s="77">
        <f>'31'!D24</f>
        <v>0</v>
      </c>
      <c r="AH23" s="39" t="e">
        <f>IF(#REF!&lt;&gt;0,0,1)</f>
        <v>#REF!</v>
      </c>
      <c r="AI23" s="58">
        <f t="shared" si="0"/>
        <v>98.333322222222222</v>
      </c>
    </row>
    <row r="24" spans="1:35" ht="21.5" thickBot="1">
      <c r="A24" s="35" t="s">
        <v>17</v>
      </c>
      <c r="B24" s="6" t="s">
        <v>18</v>
      </c>
      <c r="C24" s="78">
        <f>'1'!D25</f>
        <v>0</v>
      </c>
      <c r="D24" s="79">
        <f>'2'!D25</f>
        <v>0</v>
      </c>
      <c r="E24" s="79">
        <f>'3'!D25</f>
        <v>0</v>
      </c>
      <c r="F24" s="79">
        <f>'4'!D25</f>
        <v>0</v>
      </c>
      <c r="G24" s="79">
        <f>'5'!D25</f>
        <v>0</v>
      </c>
      <c r="H24" s="79">
        <f>' 6'!D25</f>
        <v>0</v>
      </c>
      <c r="I24" s="79">
        <f>'7'!D25</f>
        <v>0</v>
      </c>
      <c r="J24" s="79">
        <f>'8'!D25</f>
        <v>0</v>
      </c>
      <c r="K24" s="79">
        <f>'9'!D25</f>
        <v>0</v>
      </c>
      <c r="L24" s="79">
        <f>'10'!D25</f>
        <v>0</v>
      </c>
      <c r="M24" s="79">
        <f>'11'!D25</f>
        <v>0</v>
      </c>
      <c r="N24" s="79">
        <f>'12'!D25</f>
        <v>0</v>
      </c>
      <c r="O24" s="79">
        <f>'13'!D25</f>
        <v>0</v>
      </c>
      <c r="P24" s="79">
        <f>'14'!D25</f>
        <v>0</v>
      </c>
      <c r="Q24" s="79">
        <f>'15'!D25</f>
        <v>0</v>
      </c>
      <c r="R24" s="79">
        <f>'16'!D25</f>
        <v>0</v>
      </c>
      <c r="S24" s="79">
        <f>'17'!D25</f>
        <v>0</v>
      </c>
      <c r="T24" s="79">
        <f>'18'!D25</f>
        <v>0</v>
      </c>
      <c r="U24" s="79">
        <f>'19'!D25</f>
        <v>0</v>
      </c>
      <c r="V24" s="79">
        <f>'20'!D25</f>
        <v>0</v>
      </c>
      <c r="W24" s="79">
        <f>'21'!D25</f>
        <v>0</v>
      </c>
      <c r="X24" s="79">
        <f>'22'!D25</f>
        <v>0</v>
      </c>
      <c r="Y24" s="79">
        <f>'23'!D25</f>
        <v>0</v>
      </c>
      <c r="Z24" s="79">
        <f>'24'!D25</f>
        <v>0</v>
      </c>
      <c r="AA24" s="79">
        <f>'25'!D25</f>
        <v>0</v>
      </c>
      <c r="AB24" s="79">
        <f>'26'!D25</f>
        <v>0</v>
      </c>
      <c r="AC24" s="79">
        <f>'27'!D25</f>
        <v>0</v>
      </c>
      <c r="AD24" s="79">
        <f>'28'!D25</f>
        <v>0</v>
      </c>
      <c r="AE24" s="79">
        <f>'29'!D25</f>
        <v>0</v>
      </c>
      <c r="AF24" s="79">
        <f>'30'!D25</f>
        <v>0</v>
      </c>
      <c r="AG24" s="80">
        <f>'31'!D25</f>
        <v>0</v>
      </c>
      <c r="AH24" s="39" t="e">
        <f>IF(#REF!&lt;&gt;0,0,1)</f>
        <v>#REF!</v>
      </c>
      <c r="AI24" s="58">
        <f t="shared" si="0"/>
        <v>0</v>
      </c>
    </row>
    <row r="25" spans="1:35">
      <c r="A25" s="7"/>
      <c r="B25" s="6" t="s">
        <v>19</v>
      </c>
      <c r="C25" s="78">
        <f>'1'!D26</f>
        <v>0</v>
      </c>
      <c r="D25" s="79">
        <f>'2'!D26</f>
        <v>0</v>
      </c>
      <c r="E25" s="79">
        <f>'3'!D26</f>
        <v>0</v>
      </c>
      <c r="F25" s="79">
        <f>'4'!D26</f>
        <v>0</v>
      </c>
      <c r="G25" s="79">
        <f>'5'!D26</f>
        <v>0</v>
      </c>
      <c r="H25" s="79">
        <f>' 6'!D26</f>
        <v>63</v>
      </c>
      <c r="I25" s="79">
        <f>'7'!D26</f>
        <v>0</v>
      </c>
      <c r="J25" s="79">
        <f>'8'!D26</f>
        <v>0</v>
      </c>
      <c r="K25" s="79">
        <f>'9'!D26</f>
        <v>0</v>
      </c>
      <c r="L25" s="79">
        <f>'10'!D26</f>
        <v>0</v>
      </c>
      <c r="M25" s="79">
        <f>'11'!D26</f>
        <v>0</v>
      </c>
      <c r="N25" s="79">
        <f>'12'!D26</f>
        <v>0</v>
      </c>
      <c r="O25" s="79">
        <f>'13'!D26</f>
        <v>0</v>
      </c>
      <c r="P25" s="79">
        <f>'14'!D26</f>
        <v>0</v>
      </c>
      <c r="Q25" s="79">
        <f>'15'!D26</f>
        <v>0</v>
      </c>
      <c r="R25" s="79">
        <f>'16'!D26</f>
        <v>0</v>
      </c>
      <c r="S25" s="79">
        <f>'17'!D26</f>
        <v>0</v>
      </c>
      <c r="T25" s="79">
        <f>'18'!D26</f>
        <v>3</v>
      </c>
      <c r="U25" s="79">
        <f>'19'!D26</f>
        <v>0</v>
      </c>
      <c r="V25" s="79">
        <f>'20'!D26</f>
        <v>0</v>
      </c>
      <c r="W25" s="79">
        <f>'21'!D26</f>
        <v>0</v>
      </c>
      <c r="X25" s="79">
        <f>'22'!D26</f>
        <v>0</v>
      </c>
      <c r="Y25" s="79">
        <f>'23'!D26</f>
        <v>0</v>
      </c>
      <c r="Z25" s="79">
        <f>'24'!D26</f>
        <v>0</v>
      </c>
      <c r="AA25" s="79">
        <f>'25'!D26</f>
        <v>0</v>
      </c>
      <c r="AB25" s="79">
        <f>'26'!D26</f>
        <v>0</v>
      </c>
      <c r="AC25" s="79">
        <f>'27'!D26</f>
        <v>0</v>
      </c>
      <c r="AD25" s="79">
        <f>'28'!D26</f>
        <v>0</v>
      </c>
      <c r="AE25" s="79">
        <f>'29'!D26</f>
        <v>0</v>
      </c>
      <c r="AF25" s="79">
        <f>'30'!D26</f>
        <v>0</v>
      </c>
      <c r="AG25" s="80">
        <f>'31'!D26</f>
        <v>0</v>
      </c>
      <c r="AH25" s="39" t="e">
        <f>IF(#REF!&lt;&gt;0,0,1)</f>
        <v>#REF!</v>
      </c>
      <c r="AI25" s="58">
        <f t="shared" si="0"/>
        <v>66</v>
      </c>
    </row>
    <row r="26" spans="1:35">
      <c r="A26" s="7"/>
      <c r="B26" s="6" t="s">
        <v>20</v>
      </c>
      <c r="C26" s="78">
        <f>'1'!D27</f>
        <v>0</v>
      </c>
      <c r="D26" s="79">
        <f>'2'!D27</f>
        <v>0</v>
      </c>
      <c r="E26" s="79">
        <f>'3'!D27</f>
        <v>0</v>
      </c>
      <c r="F26" s="79">
        <f>'4'!D27</f>
        <v>0</v>
      </c>
      <c r="G26" s="79">
        <f>'5'!D27</f>
        <v>0</v>
      </c>
      <c r="H26" s="79">
        <f>' 6'!D27</f>
        <v>25.555555555555557</v>
      </c>
      <c r="I26" s="79">
        <f>'7'!D27</f>
        <v>0</v>
      </c>
      <c r="J26" s="79">
        <f>'8'!D27</f>
        <v>0</v>
      </c>
      <c r="K26" s="79">
        <f>'9'!D27</f>
        <v>0</v>
      </c>
      <c r="L26" s="79">
        <f>'10'!D27</f>
        <v>0</v>
      </c>
      <c r="M26" s="79">
        <f>'11'!D27</f>
        <v>0</v>
      </c>
      <c r="N26" s="79">
        <f>'12'!D27</f>
        <v>0</v>
      </c>
      <c r="O26" s="79">
        <f>'13'!D27</f>
        <v>0</v>
      </c>
      <c r="P26" s="79">
        <f>'14'!D27</f>
        <v>10</v>
      </c>
      <c r="Q26" s="79">
        <f>'15'!D27</f>
        <v>0</v>
      </c>
      <c r="R26" s="79">
        <f>'16'!D27</f>
        <v>0</v>
      </c>
      <c r="S26" s="79">
        <f>'17'!D27</f>
        <v>0</v>
      </c>
      <c r="T26" s="79">
        <f>'18'!D27</f>
        <v>40</v>
      </c>
      <c r="U26" s="79">
        <f>'19'!D27</f>
        <v>0</v>
      </c>
      <c r="V26" s="79">
        <f>'20'!D27</f>
        <v>0</v>
      </c>
      <c r="W26" s="79">
        <f>'21'!D27</f>
        <v>0</v>
      </c>
      <c r="X26" s="79">
        <f>'22'!D27</f>
        <v>0</v>
      </c>
      <c r="Y26" s="79">
        <f>'23'!D27</f>
        <v>0</v>
      </c>
      <c r="Z26" s="79">
        <f>'24'!D27</f>
        <v>0</v>
      </c>
      <c r="AA26" s="79">
        <f>'25'!D27</f>
        <v>21.777777777777779</v>
      </c>
      <c r="AB26" s="79">
        <f>'26'!D27</f>
        <v>0</v>
      </c>
      <c r="AC26" s="79">
        <f>'27'!D27</f>
        <v>0</v>
      </c>
      <c r="AD26" s="79">
        <f>'28'!D27</f>
        <v>0</v>
      </c>
      <c r="AE26" s="79">
        <f>'29'!D27</f>
        <v>0</v>
      </c>
      <c r="AF26" s="79">
        <f>'30'!D27</f>
        <v>0</v>
      </c>
      <c r="AG26" s="80">
        <f>'31'!D27</f>
        <v>0</v>
      </c>
      <c r="AH26" s="39" t="e">
        <f>IF(#REF!&lt;&gt;0,0,1)</f>
        <v>#REF!</v>
      </c>
      <c r="AI26" s="58">
        <f t="shared" si="0"/>
        <v>97.333333333333343</v>
      </c>
    </row>
    <row r="27" spans="1:35">
      <c r="A27" s="7"/>
      <c r="B27" s="6" t="s">
        <v>3</v>
      </c>
      <c r="C27" s="78">
        <f>'1'!D28</f>
        <v>30</v>
      </c>
      <c r="D27" s="79">
        <f>'2'!D28</f>
        <v>0</v>
      </c>
      <c r="E27" s="79">
        <f>'3'!D28</f>
        <v>0.88888888888888884</v>
      </c>
      <c r="F27" s="79">
        <f>'4'!D28</f>
        <v>0</v>
      </c>
      <c r="G27" s="79">
        <f>'5'!D28</f>
        <v>0</v>
      </c>
      <c r="H27" s="79">
        <f>' 6'!D28</f>
        <v>0</v>
      </c>
      <c r="I27" s="79">
        <f>'7'!D28</f>
        <v>0</v>
      </c>
      <c r="J27" s="79">
        <f>'8'!D28</f>
        <v>104</v>
      </c>
      <c r="K27" s="79">
        <f>'9'!D28</f>
        <v>0</v>
      </c>
      <c r="L27" s="79">
        <f>'10'!D28</f>
        <v>0</v>
      </c>
      <c r="M27" s="79">
        <f>'11'!D28</f>
        <v>0</v>
      </c>
      <c r="N27" s="79">
        <f>'12'!D28</f>
        <v>7.4444444444444446</v>
      </c>
      <c r="O27" s="79">
        <f>'13'!D28</f>
        <v>0</v>
      </c>
      <c r="P27" s="79">
        <f>'14'!D28</f>
        <v>0</v>
      </c>
      <c r="Q27" s="79">
        <f>'15'!D28</f>
        <v>0</v>
      </c>
      <c r="R27" s="79">
        <f>'16'!D28</f>
        <v>0</v>
      </c>
      <c r="S27" s="79">
        <f>'17'!D28</f>
        <v>0</v>
      </c>
      <c r="T27" s="79">
        <f>'18'!D28</f>
        <v>7.7777777777777777</v>
      </c>
      <c r="U27" s="79">
        <f>'19'!D28</f>
        <v>0</v>
      </c>
      <c r="V27" s="79">
        <f>'20'!D28</f>
        <v>0</v>
      </c>
      <c r="W27" s="79">
        <f>'21'!D28</f>
        <v>0</v>
      </c>
      <c r="X27" s="79">
        <f>'22'!D28</f>
        <v>0</v>
      </c>
      <c r="Y27" s="79">
        <f>'23'!D28</f>
        <v>0.55555555555555558</v>
      </c>
      <c r="Z27" s="79">
        <f>'24'!D28</f>
        <v>0</v>
      </c>
      <c r="AA27" s="79">
        <f>'25'!D28</f>
        <v>35</v>
      </c>
      <c r="AB27" s="79">
        <f>'26'!D28</f>
        <v>0</v>
      </c>
      <c r="AC27" s="79">
        <f>'27'!D28</f>
        <v>0</v>
      </c>
      <c r="AD27" s="79">
        <f>'28'!D28</f>
        <v>5.5555555555555554</v>
      </c>
      <c r="AE27" s="79">
        <f>'29'!D28</f>
        <v>0</v>
      </c>
      <c r="AF27" s="79">
        <f>'30'!D28</f>
        <v>0</v>
      </c>
      <c r="AG27" s="80">
        <f>'31'!D28</f>
        <v>0</v>
      </c>
      <c r="AH27" s="39" t="e">
        <f>IF(#REF!&lt;&gt;0,0,1)</f>
        <v>#REF!</v>
      </c>
      <c r="AI27" s="58">
        <f t="shared" si="0"/>
        <v>191.2222222222222</v>
      </c>
    </row>
    <row r="28" spans="1:35">
      <c r="A28" s="7"/>
      <c r="B28" s="6" t="s">
        <v>24</v>
      </c>
      <c r="C28" s="78">
        <f>'1'!D29</f>
        <v>0</v>
      </c>
      <c r="D28" s="79">
        <f>'2'!D29</f>
        <v>0</v>
      </c>
      <c r="E28" s="79">
        <f>'3'!D29</f>
        <v>0</v>
      </c>
      <c r="F28" s="79">
        <f>'4'!D29</f>
        <v>0</v>
      </c>
      <c r="G28" s="79">
        <f>'5'!D29</f>
        <v>0</v>
      </c>
      <c r="H28" s="79">
        <f>' 6'!D29</f>
        <v>0</v>
      </c>
      <c r="I28" s="79">
        <f>'7'!D29</f>
        <v>0</v>
      </c>
      <c r="J28" s="79">
        <f>'8'!D29</f>
        <v>0</v>
      </c>
      <c r="K28" s="79">
        <f>'9'!D29</f>
        <v>0</v>
      </c>
      <c r="L28" s="79">
        <f>'10'!D29</f>
        <v>0</v>
      </c>
      <c r="M28" s="79">
        <f>'11'!D29</f>
        <v>0</v>
      </c>
      <c r="N28" s="79">
        <f>'12'!D29</f>
        <v>0</v>
      </c>
      <c r="O28" s="79">
        <f>'13'!D29</f>
        <v>0</v>
      </c>
      <c r="P28" s="79">
        <f>'14'!D29</f>
        <v>0</v>
      </c>
      <c r="Q28" s="79">
        <f>'15'!D29</f>
        <v>0</v>
      </c>
      <c r="R28" s="79">
        <f>'16'!D29</f>
        <v>0</v>
      </c>
      <c r="S28" s="79">
        <f>'17'!D29</f>
        <v>0</v>
      </c>
      <c r="T28" s="79">
        <f>'18'!D29</f>
        <v>0</v>
      </c>
      <c r="U28" s="79">
        <f>'19'!D29</f>
        <v>0</v>
      </c>
      <c r="V28" s="79">
        <f>'20'!D29</f>
        <v>0</v>
      </c>
      <c r="W28" s="79">
        <f>'21'!D29</f>
        <v>0</v>
      </c>
      <c r="X28" s="79">
        <f>'22'!D29</f>
        <v>0</v>
      </c>
      <c r="Y28" s="79">
        <f>'23'!D29</f>
        <v>0</v>
      </c>
      <c r="Z28" s="79">
        <f>'24'!D29</f>
        <v>0</v>
      </c>
      <c r="AA28" s="79">
        <f>'25'!D29</f>
        <v>0</v>
      </c>
      <c r="AB28" s="79">
        <f>'26'!D29</f>
        <v>0</v>
      </c>
      <c r="AC28" s="79">
        <f>'27'!D29</f>
        <v>0</v>
      </c>
      <c r="AD28" s="79">
        <f>'28'!D29</f>
        <v>0</v>
      </c>
      <c r="AE28" s="79">
        <f>'29'!D29</f>
        <v>0</v>
      </c>
      <c r="AF28" s="79">
        <f>'30'!D29</f>
        <v>0</v>
      </c>
      <c r="AG28" s="80">
        <f>'31'!D29</f>
        <v>0</v>
      </c>
      <c r="AH28" s="39" t="e">
        <f>IF(#REF!&lt;&gt;0,0,1)</f>
        <v>#REF!</v>
      </c>
      <c r="AI28" s="58">
        <f t="shared" si="0"/>
        <v>0</v>
      </c>
    </row>
    <row r="29" spans="1:35">
      <c r="A29" s="7"/>
      <c r="B29" s="6" t="s">
        <v>25</v>
      </c>
      <c r="C29" s="78">
        <f>'1'!D30</f>
        <v>3.8888888888888888</v>
      </c>
      <c r="D29" s="79">
        <f>'2'!D30</f>
        <v>30</v>
      </c>
      <c r="E29" s="79">
        <f>'3'!D30</f>
        <v>0</v>
      </c>
      <c r="F29" s="79">
        <f>'4'!D30</f>
        <v>90</v>
      </c>
      <c r="G29" s="79">
        <f>'5'!D30</f>
        <v>0</v>
      </c>
      <c r="H29" s="79">
        <f>' 6'!D30</f>
        <v>45</v>
      </c>
      <c r="I29" s="79">
        <f>'7'!D30</f>
        <v>0</v>
      </c>
      <c r="J29" s="79">
        <f>'8'!D30</f>
        <v>0</v>
      </c>
      <c r="K29" s="79">
        <f>'9'!D30</f>
        <v>0</v>
      </c>
      <c r="L29" s="79">
        <f>'10'!D30</f>
        <v>15</v>
      </c>
      <c r="M29" s="79">
        <f>'11'!D30</f>
        <v>0</v>
      </c>
      <c r="N29" s="79">
        <f>'12'!D30</f>
        <v>10</v>
      </c>
      <c r="O29" s="79">
        <f>'13'!D30</f>
        <v>0</v>
      </c>
      <c r="P29" s="79">
        <f>'14'!D30</f>
        <v>24</v>
      </c>
      <c r="Q29" s="79">
        <f>'15'!D30</f>
        <v>0</v>
      </c>
      <c r="R29" s="79">
        <f>'16'!D30</f>
        <v>100</v>
      </c>
      <c r="S29" s="79">
        <f>'17'!D30</f>
        <v>0</v>
      </c>
      <c r="T29" s="79">
        <f>'18'!D30</f>
        <v>0</v>
      </c>
      <c r="U29" s="79">
        <f>'19'!D30</f>
        <v>223</v>
      </c>
      <c r="V29" s="79">
        <f>'20'!D30</f>
        <v>0</v>
      </c>
      <c r="W29" s="79">
        <f>'21'!D30</f>
        <v>5</v>
      </c>
      <c r="X29" s="79">
        <f>'22'!D30</f>
        <v>0</v>
      </c>
      <c r="Y29" s="79">
        <f>'23'!D30</f>
        <v>70</v>
      </c>
      <c r="Z29" s="79">
        <f>'24'!D30</f>
        <v>0</v>
      </c>
      <c r="AA29" s="79">
        <f>'25'!D30</f>
        <v>20</v>
      </c>
      <c r="AB29" s="79">
        <f>'26'!D30</f>
        <v>0</v>
      </c>
      <c r="AC29" s="79">
        <f>'27'!D30</f>
        <v>0</v>
      </c>
      <c r="AD29" s="79">
        <f>'28'!D30</f>
        <v>0</v>
      </c>
      <c r="AE29" s="79">
        <f>'29'!D30</f>
        <v>0</v>
      </c>
      <c r="AF29" s="79">
        <f>'30'!D30</f>
        <v>0</v>
      </c>
      <c r="AG29" s="80">
        <f>'31'!D30</f>
        <v>0</v>
      </c>
      <c r="AH29" s="39" t="e">
        <f>IF(#REF!&lt;&gt;0,0,1)</f>
        <v>#REF!</v>
      </c>
      <c r="AI29" s="58">
        <f t="shared" si="0"/>
        <v>635.88888888888891</v>
      </c>
    </row>
    <row r="30" spans="1:35">
      <c r="A30" s="7"/>
      <c r="B30" s="6" t="s">
        <v>26</v>
      </c>
      <c r="C30" s="78">
        <f>'1'!D31</f>
        <v>0</v>
      </c>
      <c r="D30" s="79">
        <f>'2'!D31</f>
        <v>0</v>
      </c>
      <c r="E30" s="79">
        <f>'3'!D31</f>
        <v>0</v>
      </c>
      <c r="F30" s="79">
        <f>'4'!D31</f>
        <v>0</v>
      </c>
      <c r="G30" s="79">
        <f>'5'!D31</f>
        <v>0</v>
      </c>
      <c r="H30" s="79">
        <f>' 6'!D31</f>
        <v>0</v>
      </c>
      <c r="I30" s="79">
        <f>'7'!D31</f>
        <v>2615</v>
      </c>
      <c r="J30" s="79">
        <f>'8'!D31</f>
        <v>5500</v>
      </c>
      <c r="K30" s="79">
        <f>'9'!D31</f>
        <v>100</v>
      </c>
      <c r="L30" s="79">
        <f>'10'!D31</f>
        <v>400</v>
      </c>
      <c r="M30" s="79">
        <f>'11'!D31</f>
        <v>0</v>
      </c>
      <c r="N30" s="79">
        <f>'12'!D31</f>
        <v>80</v>
      </c>
      <c r="O30" s="79">
        <f>'13'!D31</f>
        <v>0</v>
      </c>
      <c r="P30" s="79">
        <f>'14'!D31</f>
        <v>186</v>
      </c>
      <c r="Q30" s="79">
        <f>'15'!D31</f>
        <v>0</v>
      </c>
      <c r="R30" s="79">
        <f>'16'!D31</f>
        <v>220</v>
      </c>
      <c r="S30" s="79">
        <f>'17'!D31</f>
        <v>0</v>
      </c>
      <c r="T30" s="79">
        <f>'18'!D31</f>
        <v>75</v>
      </c>
      <c r="U30" s="79">
        <f>'19'!D31</f>
        <v>0</v>
      </c>
      <c r="V30" s="79">
        <f>'20'!D31</f>
        <v>0</v>
      </c>
      <c r="W30" s="79">
        <f>'21'!D31</f>
        <v>0</v>
      </c>
      <c r="X30" s="79">
        <f>'22'!D31</f>
        <v>270</v>
      </c>
      <c r="Y30" s="79">
        <f>'23'!D31</f>
        <v>0</v>
      </c>
      <c r="Z30" s="79">
        <f>'24'!D31</f>
        <v>0</v>
      </c>
      <c r="AA30" s="79">
        <f>'25'!D31</f>
        <v>0</v>
      </c>
      <c r="AB30" s="79">
        <f>'26'!D31</f>
        <v>0</v>
      </c>
      <c r="AC30" s="79">
        <f>'27'!D31</f>
        <v>0</v>
      </c>
      <c r="AD30" s="79">
        <f>'28'!D31</f>
        <v>0</v>
      </c>
      <c r="AE30" s="79">
        <f>'29'!D31</f>
        <v>210</v>
      </c>
      <c r="AF30" s="79">
        <f>'30'!D31</f>
        <v>0</v>
      </c>
      <c r="AG30" s="80">
        <f>'31'!D31</f>
        <v>0</v>
      </c>
      <c r="AH30" s="39" t="e">
        <f>IF(#REF!&lt;&gt;0,0,1)</f>
        <v>#REF!</v>
      </c>
      <c r="AI30" s="58">
        <f t="shared" si="0"/>
        <v>9656</v>
      </c>
    </row>
    <row r="31" spans="1:35">
      <c r="A31" s="7"/>
      <c r="B31" s="6" t="s">
        <v>40</v>
      </c>
      <c r="C31" s="78">
        <f>'1'!D32</f>
        <v>8.3333333333333339</v>
      </c>
      <c r="D31" s="79">
        <f>'2'!D32</f>
        <v>22.222222222222221</v>
      </c>
      <c r="E31" s="79">
        <f>'3'!D32</f>
        <v>15.111111111111111</v>
      </c>
      <c r="F31" s="79">
        <f>'4'!D32</f>
        <v>2.2222222222222223</v>
      </c>
      <c r="G31" s="79">
        <f>'5'!D32</f>
        <v>3.8888888888888888</v>
      </c>
      <c r="H31" s="79">
        <f>' 6'!D32</f>
        <v>3.1111111111111112</v>
      </c>
      <c r="I31" s="79">
        <f>'7'!D32</f>
        <v>1.1111111111111112</v>
      </c>
      <c r="J31" s="79">
        <f>'8'!D32</f>
        <v>0</v>
      </c>
      <c r="K31" s="79">
        <f>'9'!D32</f>
        <v>0</v>
      </c>
      <c r="L31" s="79">
        <f>'10'!D32</f>
        <v>16.333333333333332</v>
      </c>
      <c r="M31" s="79">
        <f>'11'!D32</f>
        <v>1.1111111111111112</v>
      </c>
      <c r="N31" s="79">
        <f>'12'!D32</f>
        <v>11.111111111111111</v>
      </c>
      <c r="O31" s="79">
        <f>'13'!D32</f>
        <v>0</v>
      </c>
      <c r="P31" s="79">
        <f>'14'!D32</f>
        <v>1.1111111111111112</v>
      </c>
      <c r="Q31" s="79">
        <f>'15'!D32</f>
        <v>2.2222222222222223</v>
      </c>
      <c r="R31" s="79">
        <f>'16'!D32</f>
        <v>4.4444444444444446</v>
      </c>
      <c r="S31" s="79">
        <f>'17'!D32</f>
        <v>0</v>
      </c>
      <c r="T31" s="79">
        <f>'18'!D32</f>
        <v>24.444444444444443</v>
      </c>
      <c r="U31" s="79">
        <f>'19'!D32</f>
        <v>5</v>
      </c>
      <c r="V31" s="79">
        <f>'20'!D32</f>
        <v>12.777777777777779</v>
      </c>
      <c r="W31" s="79">
        <f>'21'!D32</f>
        <v>23.333333333333332</v>
      </c>
      <c r="X31" s="79">
        <f>'22'!D32</f>
        <v>4.4444444444444446</v>
      </c>
      <c r="Y31" s="79">
        <f>'23'!D32</f>
        <v>4.4444444444444446</v>
      </c>
      <c r="Z31" s="79">
        <f>'24'!D32</f>
        <v>11.555555555555555</v>
      </c>
      <c r="AA31" s="79">
        <f>'25'!D32</f>
        <v>1.1111111111111112</v>
      </c>
      <c r="AB31" s="79">
        <f>'26'!D32</f>
        <v>7.7777777777777777</v>
      </c>
      <c r="AC31" s="79">
        <f>'27'!D32</f>
        <v>0</v>
      </c>
      <c r="AD31" s="79">
        <f>'28'!D32</f>
        <v>13.333333333333334</v>
      </c>
      <c r="AE31" s="79">
        <f>'29'!D32</f>
        <v>1.1111111111111112</v>
      </c>
      <c r="AF31" s="79">
        <f>'30'!D32</f>
        <v>55.555555555555557</v>
      </c>
      <c r="AG31" s="80">
        <f>'31'!D32</f>
        <v>154.44444444444446</v>
      </c>
      <c r="AH31" s="39" t="e">
        <f>IF(#REF!&lt;&gt;0,0,1)</f>
        <v>#REF!</v>
      </c>
      <c r="AI31" s="58">
        <f t="shared" si="0"/>
        <v>411.66666666666674</v>
      </c>
    </row>
    <row r="32" spans="1:35">
      <c r="A32" s="7"/>
      <c r="B32" s="6" t="s">
        <v>42</v>
      </c>
      <c r="C32" s="78">
        <f>'1'!D33</f>
        <v>0</v>
      </c>
      <c r="D32" s="79">
        <f>'2'!D33</f>
        <v>0</v>
      </c>
      <c r="E32" s="79">
        <f>'3'!D33</f>
        <v>0</v>
      </c>
      <c r="F32" s="79">
        <f>'4'!D33</f>
        <v>0</v>
      </c>
      <c r="G32" s="79">
        <f>'5'!D33</f>
        <v>0</v>
      </c>
      <c r="H32" s="79">
        <f>' 6'!D33</f>
        <v>0</v>
      </c>
      <c r="I32" s="79">
        <f>'7'!D33</f>
        <v>0</v>
      </c>
      <c r="J32" s="79">
        <f>'8'!D33</f>
        <v>0</v>
      </c>
      <c r="K32" s="79">
        <f>'9'!D33</f>
        <v>0</v>
      </c>
      <c r="L32" s="79">
        <f>'10'!D33</f>
        <v>0</v>
      </c>
      <c r="M32" s="79">
        <f>'11'!D33</f>
        <v>0</v>
      </c>
      <c r="N32" s="79">
        <f>'12'!D33</f>
        <v>0</v>
      </c>
      <c r="O32" s="79">
        <f>'13'!D33</f>
        <v>0</v>
      </c>
      <c r="P32" s="79">
        <f>'14'!D33</f>
        <v>0</v>
      </c>
      <c r="Q32" s="79">
        <f>'15'!D33</f>
        <v>0</v>
      </c>
      <c r="R32" s="79">
        <f>'16'!D33</f>
        <v>0</v>
      </c>
      <c r="S32" s="79">
        <f>'17'!D33</f>
        <v>0</v>
      </c>
      <c r="T32" s="79">
        <f>'18'!D33</f>
        <v>0</v>
      </c>
      <c r="U32" s="79">
        <f>'19'!D33</f>
        <v>0</v>
      </c>
      <c r="V32" s="79">
        <f>'20'!D33</f>
        <v>0</v>
      </c>
      <c r="W32" s="79">
        <f>'21'!D33</f>
        <v>0</v>
      </c>
      <c r="X32" s="79">
        <f>'22'!D33</f>
        <v>0</v>
      </c>
      <c r="Y32" s="79">
        <f>'23'!D33</f>
        <v>0</v>
      </c>
      <c r="Z32" s="79">
        <f>'24'!D33</f>
        <v>0</v>
      </c>
      <c r="AA32" s="79">
        <f>'25'!D33</f>
        <v>0</v>
      </c>
      <c r="AB32" s="79">
        <f>'26'!D33</f>
        <v>0</v>
      </c>
      <c r="AC32" s="79">
        <f>'27'!D33</f>
        <v>0</v>
      </c>
      <c r="AD32" s="79">
        <f>'28'!D33</f>
        <v>0</v>
      </c>
      <c r="AE32" s="79">
        <f>'29'!D33</f>
        <v>0</v>
      </c>
      <c r="AF32" s="79">
        <f>'30'!D33</f>
        <v>0</v>
      </c>
      <c r="AG32" s="80">
        <f>'31'!D33</f>
        <v>0</v>
      </c>
      <c r="AH32" s="39" t="e">
        <f>IF(#REF!&lt;&gt;0,0,1)</f>
        <v>#REF!</v>
      </c>
      <c r="AI32" s="58">
        <f t="shared" si="0"/>
        <v>0</v>
      </c>
    </row>
    <row r="33" spans="1:35">
      <c r="A33" s="7"/>
      <c r="B33" s="6" t="s">
        <v>35</v>
      </c>
      <c r="C33" s="78">
        <f>'1'!D34</f>
        <v>2.2222222222222223</v>
      </c>
      <c r="D33" s="79">
        <f>'2'!D34</f>
        <v>0</v>
      </c>
      <c r="E33" s="79">
        <f>'3'!D34</f>
        <v>2.2222222222222223</v>
      </c>
      <c r="F33" s="79">
        <f>'4'!D34</f>
        <v>2.2222222222222223</v>
      </c>
      <c r="G33" s="79">
        <f>'5'!D34</f>
        <v>2.2222222222222223</v>
      </c>
      <c r="H33" s="79">
        <f>' 6'!D34</f>
        <v>2.2222222222222223</v>
      </c>
      <c r="I33" s="79">
        <f>'7'!D34</f>
        <v>2.2222222222222223</v>
      </c>
      <c r="J33" s="79">
        <f>'8'!D34</f>
        <v>2.2222222222222223</v>
      </c>
      <c r="K33" s="79">
        <f>'9'!D34</f>
        <v>2.2222222222222223</v>
      </c>
      <c r="L33" s="79">
        <f>'10'!D34</f>
        <v>2.2222222222222223</v>
      </c>
      <c r="M33" s="79">
        <f>'11'!D34</f>
        <v>2.2222222222222223</v>
      </c>
      <c r="N33" s="79">
        <f>'12'!D34</f>
        <v>2.2222222222222223</v>
      </c>
      <c r="O33" s="79">
        <f>'13'!D34</f>
        <v>2.2222222222222223</v>
      </c>
      <c r="P33" s="79">
        <f>'14'!D34</f>
        <v>2.2222222222222223</v>
      </c>
      <c r="Q33" s="79">
        <f>'15'!D34</f>
        <v>2.2222222222222223</v>
      </c>
      <c r="R33" s="79">
        <f>'16'!D34</f>
        <v>2.2222222222222223</v>
      </c>
      <c r="S33" s="79">
        <f>'17'!D34</f>
        <v>2.2222222222222223</v>
      </c>
      <c r="T33" s="79">
        <f>'18'!D34</f>
        <v>2.2222222222222223</v>
      </c>
      <c r="U33" s="79">
        <f>'19'!D34</f>
        <v>2.2222222222222223</v>
      </c>
      <c r="V33" s="79">
        <f>'20'!D34</f>
        <v>2.2222222222222223</v>
      </c>
      <c r="W33" s="79">
        <f>'21'!D34</f>
        <v>2.2222222222222223</v>
      </c>
      <c r="X33" s="79">
        <f>'22'!D34</f>
        <v>2.2222222222222223</v>
      </c>
      <c r="Y33" s="79">
        <f>'23'!D34</f>
        <v>2.2222222222222223</v>
      </c>
      <c r="Z33" s="79">
        <f>'24'!D34</f>
        <v>2.2222222222222223</v>
      </c>
      <c r="AA33" s="79">
        <f>'25'!D34</f>
        <v>2.2222222222222223</v>
      </c>
      <c r="AB33" s="79">
        <f>'26'!D34</f>
        <v>2.2222222222222223</v>
      </c>
      <c r="AC33" s="79">
        <f>'27'!D34</f>
        <v>2.2222222222222223</v>
      </c>
      <c r="AD33" s="79">
        <f>'28'!D34</f>
        <v>2.2222222222222223</v>
      </c>
      <c r="AE33" s="79">
        <f>'29'!D34</f>
        <v>2.2222222222222223</v>
      </c>
      <c r="AF33" s="79">
        <f>'30'!D34</f>
        <v>2.2222222222222223</v>
      </c>
      <c r="AG33" s="80">
        <f>'31'!D34</f>
        <v>2.2222222222222223</v>
      </c>
      <c r="AH33" s="39" t="e">
        <f>IF(#REF!&lt;&gt;0,0,1)</f>
        <v>#REF!</v>
      </c>
      <c r="AI33" s="58">
        <f t="shared" si="0"/>
        <v>66.666666666666657</v>
      </c>
    </row>
    <row r="34" spans="1:35" ht="21.5" thickBot="1">
      <c r="A34" s="7"/>
      <c r="B34" s="43" t="s">
        <v>41</v>
      </c>
      <c r="C34" s="81">
        <f>'1'!D35</f>
        <v>2851.3333333333335</v>
      </c>
      <c r="D34" s="82">
        <f>'2'!D35</f>
        <v>0</v>
      </c>
      <c r="E34" s="82">
        <f>'3'!D35</f>
        <v>5.5555555555555554</v>
      </c>
      <c r="F34" s="82">
        <f>'4'!D35</f>
        <v>0</v>
      </c>
      <c r="G34" s="82">
        <f>'5'!D35</f>
        <v>0</v>
      </c>
      <c r="H34" s="82">
        <f>' 6'!D35</f>
        <v>20</v>
      </c>
      <c r="I34" s="82">
        <f>'7'!D35</f>
        <v>0</v>
      </c>
      <c r="J34" s="82">
        <f>'8'!D35</f>
        <v>0</v>
      </c>
      <c r="K34" s="82">
        <f>'9'!D35</f>
        <v>0</v>
      </c>
      <c r="L34" s="82">
        <f>'10'!D35</f>
        <v>0</v>
      </c>
      <c r="M34" s="82">
        <f>'11'!D35</f>
        <v>0</v>
      </c>
      <c r="N34" s="82">
        <f>'12'!D35</f>
        <v>220</v>
      </c>
      <c r="O34" s="82">
        <f>'13'!D35</f>
        <v>0</v>
      </c>
      <c r="P34" s="82">
        <f>'14'!D35</f>
        <v>0</v>
      </c>
      <c r="Q34" s="82">
        <f>'15'!D35</f>
        <v>0</v>
      </c>
      <c r="R34" s="82">
        <f>'16'!D35</f>
        <v>0</v>
      </c>
      <c r="S34" s="82">
        <f>'17'!D35</f>
        <v>0</v>
      </c>
      <c r="T34" s="82">
        <f>'18'!D35</f>
        <v>0</v>
      </c>
      <c r="U34" s="82">
        <f>'19'!D35</f>
        <v>0</v>
      </c>
      <c r="V34" s="82">
        <f>'20'!D35</f>
        <v>0</v>
      </c>
      <c r="W34" s="82">
        <f>'21'!D35</f>
        <v>0</v>
      </c>
      <c r="X34" s="82">
        <f>'22'!D35</f>
        <v>0</v>
      </c>
      <c r="Y34" s="82">
        <f>'23'!D35</f>
        <v>0</v>
      </c>
      <c r="Z34" s="82">
        <f>'24'!D35</f>
        <v>0</v>
      </c>
      <c r="AA34" s="82">
        <f>'25'!D35</f>
        <v>0</v>
      </c>
      <c r="AB34" s="82">
        <f>'26'!D35</f>
        <v>6.666666666666667</v>
      </c>
      <c r="AC34" s="82">
        <f>'27'!D35</f>
        <v>0</v>
      </c>
      <c r="AD34" s="82">
        <f>'28'!D35</f>
        <v>162</v>
      </c>
      <c r="AE34" s="82">
        <f>'29'!D35</f>
        <v>0</v>
      </c>
      <c r="AF34" s="82">
        <f>'30'!D35</f>
        <v>0</v>
      </c>
      <c r="AG34" s="83">
        <f>'31'!D35</f>
        <v>0</v>
      </c>
      <c r="AH34" s="39" t="e">
        <f>IF(#REF!&lt;&gt;0,0,1)</f>
        <v>#REF!</v>
      </c>
      <c r="AI34" s="58">
        <f t="shared" si="0"/>
        <v>3265.5555555555557</v>
      </c>
    </row>
    <row r="36" spans="1:35" ht="33.75" customHeight="1">
      <c r="A36" s="122" t="s">
        <v>21</v>
      </c>
      <c r="B36" s="122"/>
      <c r="C36" s="68">
        <f>SUM(C12:C34)</f>
        <v>2900.7777777777778</v>
      </c>
      <c r="D36" s="68">
        <f t="shared" ref="D36:AG36" si="1">SUM(D12:D34)</f>
        <v>167</v>
      </c>
      <c r="E36" s="68">
        <f t="shared" si="1"/>
        <v>23.777777777777779</v>
      </c>
      <c r="F36" s="68">
        <f t="shared" si="1"/>
        <v>112.77777777777779</v>
      </c>
      <c r="G36" s="68">
        <f t="shared" si="1"/>
        <v>35.111111111111107</v>
      </c>
      <c r="H36" s="68">
        <f t="shared" si="1"/>
        <v>433.4444444444444</v>
      </c>
      <c r="I36" s="68">
        <f t="shared" si="1"/>
        <v>2763.3333333333335</v>
      </c>
      <c r="J36" s="68">
        <f t="shared" si="1"/>
        <v>5606.2222222222226</v>
      </c>
      <c r="K36" s="68">
        <f t="shared" si="1"/>
        <v>123.33333333333334</v>
      </c>
      <c r="L36" s="68">
        <f t="shared" si="1"/>
        <v>561.11111111111109</v>
      </c>
      <c r="M36" s="68">
        <f t="shared" si="1"/>
        <v>3.3333333333333335</v>
      </c>
      <c r="N36" s="68">
        <f t="shared" si="1"/>
        <v>349.66666666666669</v>
      </c>
      <c r="O36" s="68">
        <f t="shared" si="1"/>
        <v>24.444444444444443</v>
      </c>
      <c r="P36" s="68">
        <f t="shared" si="1"/>
        <v>229.44444444444446</v>
      </c>
      <c r="Q36" s="68">
        <f t="shared" si="1"/>
        <v>26.888888888888886</v>
      </c>
      <c r="R36" s="68">
        <f t="shared" si="1"/>
        <v>346.66666666666669</v>
      </c>
      <c r="S36" s="68">
        <f t="shared" si="1"/>
        <v>7.7777777777777777</v>
      </c>
      <c r="T36" s="68">
        <f t="shared" si="1"/>
        <v>839.33333333333337</v>
      </c>
      <c r="U36" s="68">
        <f t="shared" si="1"/>
        <v>341.55555555555554</v>
      </c>
      <c r="V36" s="68">
        <f t="shared" si="1"/>
        <v>104.33333333333334</v>
      </c>
      <c r="W36" s="68">
        <f t="shared" si="1"/>
        <v>42.444444444444443</v>
      </c>
      <c r="X36" s="68">
        <f t="shared" si="1"/>
        <v>276.66666666666669</v>
      </c>
      <c r="Y36" s="68">
        <f t="shared" si="1"/>
        <v>129.44443333333334</v>
      </c>
      <c r="Z36" s="68">
        <f t="shared" si="1"/>
        <v>13.777777777777779</v>
      </c>
      <c r="AA36" s="68">
        <f t="shared" si="1"/>
        <v>134.55555555555557</v>
      </c>
      <c r="AB36" s="68">
        <f t="shared" si="1"/>
        <v>88.555555555555557</v>
      </c>
      <c r="AC36" s="68">
        <f t="shared" si="1"/>
        <v>82.444444444444457</v>
      </c>
      <c r="AD36" s="68">
        <f t="shared" si="1"/>
        <v>183.11111111111111</v>
      </c>
      <c r="AE36" s="68">
        <f t="shared" si="1"/>
        <v>239.33333333333334</v>
      </c>
      <c r="AF36" s="68">
        <f t="shared" si="1"/>
        <v>102.77777777777779</v>
      </c>
      <c r="AG36" s="68">
        <f t="shared" si="1"/>
        <v>156.66666666666669</v>
      </c>
      <c r="AI36" s="94">
        <f>SUM(C36:AG36)</f>
        <v>16450.111100000002</v>
      </c>
    </row>
    <row r="38" spans="1:35">
      <c r="C38" s="8">
        <f>C10-C36</f>
        <v>-2500.1111111111113</v>
      </c>
      <c r="D38" s="8">
        <f t="shared" ref="D38:AG38" si="2">D10-D36</f>
        <v>321.5555555555556</v>
      </c>
      <c r="E38" s="8">
        <f t="shared" si="2"/>
        <v>555.8888888888888</v>
      </c>
      <c r="F38" s="8">
        <f t="shared" si="2"/>
        <v>464.11111111111114</v>
      </c>
      <c r="G38" s="8">
        <f t="shared" si="2"/>
        <v>492.88888888888891</v>
      </c>
      <c r="H38" s="8">
        <f t="shared" si="2"/>
        <v>-266.22222222222217</v>
      </c>
      <c r="I38" s="8">
        <f t="shared" si="2"/>
        <v>-2670.8888888888891</v>
      </c>
      <c r="J38" s="8">
        <f t="shared" si="2"/>
        <v>-5353.666666666667</v>
      </c>
      <c r="K38" s="8">
        <f t="shared" si="2"/>
        <v>-86.666666666666686</v>
      </c>
      <c r="L38" s="8">
        <f t="shared" si="2"/>
        <v>-188.66666666666663</v>
      </c>
      <c r="M38" s="8">
        <f t="shared" si="2"/>
        <v>361.4444444444444</v>
      </c>
      <c r="N38" s="8">
        <f t="shared" si="2"/>
        <v>-64.000000000000057</v>
      </c>
      <c r="O38" s="8">
        <f t="shared" si="2"/>
        <v>97.777777777777786</v>
      </c>
      <c r="P38" s="8">
        <f t="shared" si="2"/>
        <v>-81</v>
      </c>
      <c r="Q38" s="8">
        <f t="shared" si="2"/>
        <v>188.44444444444446</v>
      </c>
      <c r="R38" s="8">
        <f t="shared" si="2"/>
        <v>-81.777777777777828</v>
      </c>
      <c r="S38" s="8">
        <f t="shared" si="2"/>
        <v>542.88888888888891</v>
      </c>
      <c r="T38" s="8">
        <f t="shared" si="2"/>
        <v>-435.88888888888891</v>
      </c>
      <c r="U38" s="8">
        <f t="shared" si="2"/>
        <v>-10.444444444444457</v>
      </c>
      <c r="V38" s="8">
        <f t="shared" si="2"/>
        <v>-36.8888888888889</v>
      </c>
      <c r="W38" s="8">
        <f t="shared" si="2"/>
        <v>164</v>
      </c>
      <c r="X38" s="8">
        <f t="shared" si="2"/>
        <v>-88.000000000000028</v>
      </c>
      <c r="Y38" s="8">
        <f>Y10-Y36</f>
        <v>61.888900000000007</v>
      </c>
      <c r="Z38" s="8">
        <f t="shared" si="2"/>
        <v>465.33333333333337</v>
      </c>
      <c r="AA38" s="8">
        <f t="shared" si="2"/>
        <v>413.00000000000011</v>
      </c>
      <c r="AB38" s="8">
        <f t="shared" si="2"/>
        <v>1012.888888888889</v>
      </c>
      <c r="AC38" s="8">
        <f t="shared" si="2"/>
        <v>111.77777777777777</v>
      </c>
      <c r="AD38" s="8">
        <f t="shared" si="2"/>
        <v>-2.6666666666666572</v>
      </c>
      <c r="AE38" s="8">
        <f t="shared" si="2"/>
        <v>-198.55555555555557</v>
      </c>
      <c r="AF38" s="8">
        <f t="shared" si="2"/>
        <v>125.77777777777776</v>
      </c>
      <c r="AG38" s="8">
        <f t="shared" si="2"/>
        <v>1399</v>
      </c>
      <c r="AI38" s="58">
        <f>AI36-AI10</f>
        <v>5286.777766666668</v>
      </c>
    </row>
    <row r="40" spans="1:35">
      <c r="C40" s="8">
        <f>C10*90000</f>
        <v>36060000</v>
      </c>
      <c r="D40" s="8">
        <f t="shared" ref="D40:AG40" si="3">D10*90000</f>
        <v>43970000.000000007</v>
      </c>
      <c r="E40" s="8">
        <f t="shared" si="3"/>
        <v>52170000</v>
      </c>
      <c r="F40" s="8">
        <f t="shared" si="3"/>
        <v>51920000</v>
      </c>
      <c r="G40" s="8">
        <f t="shared" si="3"/>
        <v>47520000</v>
      </c>
      <c r="H40" s="8">
        <f t="shared" si="3"/>
        <v>15050000</v>
      </c>
      <c r="I40" s="8">
        <f t="shared" si="3"/>
        <v>8320000</v>
      </c>
      <c r="J40" s="8">
        <f t="shared" si="3"/>
        <v>22730000</v>
      </c>
      <c r="K40" s="8">
        <f t="shared" si="3"/>
        <v>3300000</v>
      </c>
      <c r="L40" s="8">
        <f t="shared" si="3"/>
        <v>33520000</v>
      </c>
      <c r="M40" s="8">
        <f t="shared" si="3"/>
        <v>32829999.999999993</v>
      </c>
      <c r="N40" s="8">
        <f t="shared" si="3"/>
        <v>25709999.999999996</v>
      </c>
      <c r="O40" s="8">
        <f t="shared" si="3"/>
        <v>11000000</v>
      </c>
      <c r="P40" s="8">
        <f t="shared" si="3"/>
        <v>13360000.000000002</v>
      </c>
      <c r="Q40" s="8">
        <f t="shared" si="3"/>
        <v>19380000</v>
      </c>
      <c r="R40" s="8">
        <f t="shared" si="3"/>
        <v>23839999.999999996</v>
      </c>
      <c r="S40" s="8">
        <f t="shared" si="3"/>
        <v>49560000.000000007</v>
      </c>
      <c r="T40" s="8">
        <f t="shared" si="3"/>
        <v>36310000</v>
      </c>
      <c r="U40" s="8">
        <f t="shared" si="3"/>
        <v>29799999.999999996</v>
      </c>
      <c r="V40" s="8">
        <f>V10*90000</f>
        <v>6070000</v>
      </c>
      <c r="W40" s="8">
        <f t="shared" si="3"/>
        <v>18580000</v>
      </c>
      <c r="X40" s="8">
        <f t="shared" si="3"/>
        <v>16980000</v>
      </c>
      <c r="Y40" s="8">
        <f t="shared" si="3"/>
        <v>17220000</v>
      </c>
      <c r="Z40" s="8">
        <f t="shared" si="3"/>
        <v>43120000</v>
      </c>
      <c r="AA40" s="8">
        <f>AA10*90000</f>
        <v>49280000.000000007</v>
      </c>
      <c r="AB40" s="8">
        <f t="shared" si="3"/>
        <v>99130000.000000015</v>
      </c>
      <c r="AC40" s="8">
        <f t="shared" si="3"/>
        <v>17480000</v>
      </c>
      <c r="AD40" s="8">
        <f t="shared" si="3"/>
        <v>16240000.000000002</v>
      </c>
      <c r="AE40" s="8">
        <f t="shared" si="3"/>
        <v>3670000</v>
      </c>
      <c r="AF40" s="8">
        <f t="shared" si="3"/>
        <v>20570000</v>
      </c>
      <c r="AG40" s="8">
        <f t="shared" si="3"/>
        <v>140010000</v>
      </c>
      <c r="AI40" s="58">
        <f>AI30-AI38</f>
        <v>4369.222233333332</v>
      </c>
    </row>
    <row r="42" spans="1:35">
      <c r="C42" s="8">
        <f>C31*90000</f>
        <v>750000</v>
      </c>
      <c r="D42" s="8">
        <f t="shared" ref="D42:AG42" si="4">D31*90000</f>
        <v>2000000</v>
      </c>
      <c r="E42" s="8">
        <f t="shared" si="4"/>
        <v>1360000</v>
      </c>
      <c r="F42" s="8">
        <f t="shared" si="4"/>
        <v>200000</v>
      </c>
      <c r="G42" s="8">
        <f t="shared" si="4"/>
        <v>350000</v>
      </c>
      <c r="H42" s="8">
        <f t="shared" si="4"/>
        <v>280000</v>
      </c>
      <c r="I42" s="8">
        <f t="shared" si="4"/>
        <v>100000</v>
      </c>
      <c r="J42" s="8">
        <f t="shared" si="4"/>
        <v>0</v>
      </c>
      <c r="K42" s="8">
        <f t="shared" si="4"/>
        <v>0</v>
      </c>
      <c r="L42" s="8">
        <f t="shared" si="4"/>
        <v>1470000</v>
      </c>
      <c r="M42" s="8">
        <f t="shared" si="4"/>
        <v>100000</v>
      </c>
      <c r="N42" s="8">
        <f t="shared" si="4"/>
        <v>1000000</v>
      </c>
      <c r="O42" s="8">
        <f t="shared" si="4"/>
        <v>0</v>
      </c>
      <c r="P42" s="8">
        <f t="shared" si="4"/>
        <v>100000</v>
      </c>
      <c r="Q42" s="8">
        <f t="shared" si="4"/>
        <v>200000</v>
      </c>
      <c r="R42" s="8">
        <f t="shared" si="4"/>
        <v>400000</v>
      </c>
      <c r="S42" s="8">
        <f t="shared" si="4"/>
        <v>0</v>
      </c>
      <c r="T42" s="8">
        <f t="shared" si="4"/>
        <v>2200000</v>
      </c>
      <c r="U42" s="8">
        <f t="shared" si="4"/>
        <v>450000</v>
      </c>
      <c r="V42" s="8">
        <f t="shared" si="4"/>
        <v>1150000</v>
      </c>
      <c r="W42" s="8">
        <f t="shared" si="4"/>
        <v>2100000</v>
      </c>
      <c r="X42" s="8">
        <f t="shared" si="4"/>
        <v>400000</v>
      </c>
      <c r="Y42" s="8">
        <f t="shared" si="4"/>
        <v>400000</v>
      </c>
      <c r="Z42" s="8">
        <f t="shared" si="4"/>
        <v>1040000</v>
      </c>
      <c r="AA42" s="8">
        <f t="shared" si="4"/>
        <v>100000</v>
      </c>
      <c r="AB42" s="8">
        <f t="shared" si="4"/>
        <v>700000</v>
      </c>
      <c r="AC42" s="8">
        <f t="shared" si="4"/>
        <v>0</v>
      </c>
      <c r="AD42" s="8">
        <f t="shared" si="4"/>
        <v>1200000</v>
      </c>
      <c r="AE42" s="8">
        <f t="shared" si="4"/>
        <v>100000</v>
      </c>
      <c r="AF42" s="8">
        <f t="shared" si="4"/>
        <v>5000000</v>
      </c>
      <c r="AG42" s="8">
        <f t="shared" si="4"/>
        <v>13900000.000000002</v>
      </c>
    </row>
  </sheetData>
  <autoFilter ref="C11:AH34" xr:uid="{00000000-0009-0000-0000-000021000000}"/>
  <mergeCells count="4">
    <mergeCell ref="A1:B1"/>
    <mergeCell ref="A4:B4"/>
    <mergeCell ref="A11:B11"/>
    <mergeCell ref="A36:B36"/>
  </mergeCells>
  <hyperlinks>
    <hyperlink ref="C1" location="الرئيسية!A1" display="الصفحة الرئيسية" xr:uid="{00000000-0004-0000-2100-000000000000}"/>
  </hyperlinks>
  <pageMargins left="0.7" right="0.7" top="0.41" bottom="0.3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35CA-C708-416A-8F5A-3E49A2A618CA}">
  <dimension ref="A1:AI10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6" sqref="B6"/>
    </sheetView>
  </sheetViews>
  <sheetFormatPr defaultRowHeight="14.5"/>
  <sheetData>
    <row r="1" spans="1:35" ht="84">
      <c r="A1" s="120" t="s">
        <v>34</v>
      </c>
      <c r="B1" s="120"/>
      <c r="C1" s="57" t="s">
        <v>53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I1" s="49"/>
    </row>
    <row r="2" spans="1:35" ht="21">
      <c r="A2" s="1"/>
      <c r="B2" s="1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I2" s="49"/>
    </row>
    <row r="3" spans="1:35" ht="21">
      <c r="A3" s="1"/>
      <c r="B3" s="1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I3" s="49"/>
    </row>
    <row r="4" spans="1:35" ht="29" thickBot="1">
      <c r="A4" s="121" t="s">
        <v>1</v>
      </c>
      <c r="B4" s="121"/>
      <c r="C4" s="32">
        <v>1</v>
      </c>
      <c r="D4" s="32">
        <v>2</v>
      </c>
      <c r="E4" s="32">
        <v>3</v>
      </c>
      <c r="F4" s="32">
        <v>4</v>
      </c>
      <c r="G4" s="32">
        <v>5</v>
      </c>
      <c r="H4" s="32">
        <v>6</v>
      </c>
      <c r="I4" s="32">
        <v>7</v>
      </c>
      <c r="J4" s="32">
        <v>8</v>
      </c>
      <c r="K4" s="32">
        <v>9</v>
      </c>
      <c r="L4" s="32">
        <v>10</v>
      </c>
      <c r="M4" s="32">
        <v>11</v>
      </c>
      <c r="N4" s="32">
        <v>12</v>
      </c>
      <c r="O4" s="32">
        <v>13</v>
      </c>
      <c r="P4" s="32">
        <v>14</v>
      </c>
      <c r="Q4" s="32">
        <v>15</v>
      </c>
      <c r="R4" s="32">
        <v>16</v>
      </c>
      <c r="S4" s="32">
        <v>17</v>
      </c>
      <c r="T4" s="32">
        <v>18</v>
      </c>
      <c r="U4" s="32">
        <v>19</v>
      </c>
      <c r="V4" s="32">
        <v>20</v>
      </c>
      <c r="W4" s="32">
        <v>21</v>
      </c>
      <c r="X4" s="32">
        <v>22</v>
      </c>
      <c r="Y4" s="32">
        <v>23</v>
      </c>
      <c r="Z4" s="32">
        <v>24</v>
      </c>
      <c r="AA4" s="32">
        <v>25</v>
      </c>
      <c r="AB4" s="32">
        <v>26</v>
      </c>
      <c r="AC4" s="32">
        <v>27</v>
      </c>
      <c r="AD4" s="32">
        <v>28</v>
      </c>
      <c r="AE4" s="32">
        <v>29</v>
      </c>
      <c r="AF4" s="32">
        <v>30</v>
      </c>
      <c r="AG4" s="32">
        <v>31</v>
      </c>
      <c r="AI4" s="49" t="s">
        <v>54</v>
      </c>
    </row>
    <row r="5" spans="1:35" ht="21">
      <c r="A5" s="1"/>
      <c r="B5" s="12" t="s">
        <v>4</v>
      </c>
      <c r="C5" s="84">
        <f>'1'!E6</f>
        <v>26</v>
      </c>
      <c r="D5" s="85">
        <f>'2'!E6</f>
        <v>24</v>
      </c>
      <c r="E5" s="85">
        <f>'3'!E6</f>
        <v>28</v>
      </c>
      <c r="F5" s="85">
        <f>'4'!E6</f>
        <v>26</v>
      </c>
      <c r="G5" s="85">
        <f>'5'!E6</f>
        <v>27</v>
      </c>
      <c r="H5" s="85">
        <f>' 6'!E6</f>
        <v>4</v>
      </c>
      <c r="I5" s="85">
        <f>'7'!E6</f>
        <v>2</v>
      </c>
      <c r="J5" s="85">
        <f>'8'!E6</f>
        <v>7</v>
      </c>
      <c r="K5" s="85">
        <f>'9'!E6</f>
        <v>3</v>
      </c>
      <c r="L5" s="85">
        <f>'10'!E6</f>
        <v>17</v>
      </c>
      <c r="M5" s="85">
        <f>'11'!E6</f>
        <v>18</v>
      </c>
      <c r="N5" s="85">
        <f>'12'!E6</f>
        <v>10</v>
      </c>
      <c r="O5" s="85">
        <f>'13'!E6</f>
        <v>5</v>
      </c>
      <c r="P5" s="85">
        <f>'14'!E6</f>
        <v>7</v>
      </c>
      <c r="Q5" s="85">
        <f>'15'!E6</f>
        <v>11</v>
      </c>
      <c r="R5" s="85">
        <f>'16'!E6</f>
        <v>10</v>
      </c>
      <c r="S5" s="85">
        <f>'17'!E6</f>
        <v>23</v>
      </c>
      <c r="T5" s="85">
        <f>'18'!E6</f>
        <v>21</v>
      </c>
      <c r="U5" s="85">
        <f>'19'!E6</f>
        <v>20</v>
      </c>
      <c r="V5" s="85">
        <f>'20'!E6</f>
        <v>6</v>
      </c>
      <c r="W5" s="85">
        <f>'21'!E6</f>
        <v>11</v>
      </c>
      <c r="X5" s="85">
        <f>'22'!E6</f>
        <v>14</v>
      </c>
      <c r="Y5" s="85">
        <f>'23'!E6</f>
        <v>10</v>
      </c>
      <c r="Z5" s="85">
        <f>'24'!E6</f>
        <v>19</v>
      </c>
      <c r="AA5" s="85">
        <f>'25'!E6</f>
        <v>15</v>
      </c>
      <c r="AB5" s="85">
        <f>'26'!E6</f>
        <v>67</v>
      </c>
      <c r="AC5" s="85">
        <f>'27'!E6</f>
        <v>4</v>
      </c>
      <c r="AD5" s="85">
        <f>'28'!E6</f>
        <v>6</v>
      </c>
      <c r="AE5" s="85">
        <f>'29'!E6</f>
        <v>3</v>
      </c>
      <c r="AF5" s="85">
        <f>'30'!E6</f>
        <v>8</v>
      </c>
      <c r="AG5" s="86">
        <f>'31'!E6</f>
        <v>17</v>
      </c>
      <c r="AI5" s="111">
        <f>SUM(C5:AG5)</f>
        <v>469</v>
      </c>
    </row>
    <row r="6" spans="1:35" ht="21">
      <c r="A6" s="1"/>
      <c r="B6" s="12" t="s">
        <v>28</v>
      </c>
      <c r="C6" s="87">
        <f>'1'!E7</f>
        <v>114</v>
      </c>
      <c r="D6" s="88">
        <f>'2'!E7</f>
        <v>132</v>
      </c>
      <c r="E6" s="88">
        <f>'3'!E7</f>
        <v>157</v>
      </c>
      <c r="F6" s="88">
        <f>'4'!E7</f>
        <v>168</v>
      </c>
      <c r="G6" s="88">
        <f>'5'!E7</f>
        <v>148</v>
      </c>
      <c r="H6" s="88">
        <f>' 6'!E7</f>
        <v>41</v>
      </c>
      <c r="I6" s="88">
        <f>'7'!E7</f>
        <v>19</v>
      </c>
      <c r="J6" s="88">
        <f>'8'!E7</f>
        <v>63</v>
      </c>
      <c r="K6" s="88">
        <f>'9'!E7</f>
        <v>12</v>
      </c>
      <c r="L6" s="88">
        <f>'10'!E7</f>
        <v>83</v>
      </c>
      <c r="M6" s="88">
        <f>'11'!E7</f>
        <v>100</v>
      </c>
      <c r="N6" s="88">
        <f>'12'!E7</f>
        <v>61</v>
      </c>
      <c r="O6" s="88">
        <f>'13'!E7</f>
        <v>33</v>
      </c>
      <c r="P6" s="88">
        <f>'14'!E7</f>
        <v>25</v>
      </c>
      <c r="Q6" s="88">
        <f>'15'!E7</f>
        <v>54</v>
      </c>
      <c r="R6" s="88">
        <f>'16'!E7</f>
        <v>60</v>
      </c>
      <c r="S6" s="88">
        <f>'17'!E7</f>
        <v>131</v>
      </c>
      <c r="T6" s="88">
        <f>'18'!E7</f>
        <v>110</v>
      </c>
      <c r="U6" s="88">
        <f>'19'!E7</f>
        <v>73</v>
      </c>
      <c r="V6" s="88">
        <f>'20'!E7</f>
        <v>20</v>
      </c>
      <c r="W6" s="88">
        <f>'21'!E7</f>
        <v>65</v>
      </c>
      <c r="X6" s="88">
        <f>'22'!E7</f>
        <v>58</v>
      </c>
      <c r="Y6" s="88">
        <f>'23'!E7</f>
        <v>36</v>
      </c>
      <c r="Z6" s="88">
        <f>'24'!E7</f>
        <v>97</v>
      </c>
      <c r="AA6" s="88">
        <f>'25'!E7</f>
        <v>135</v>
      </c>
      <c r="AB6" s="88">
        <f>'26'!E7</f>
        <v>296</v>
      </c>
      <c r="AC6" s="88">
        <f>'27'!E7</f>
        <v>50</v>
      </c>
      <c r="AD6" s="88">
        <f>'28'!E7</f>
        <v>43</v>
      </c>
      <c r="AE6" s="88">
        <f>'29'!E7</f>
        <v>-7</v>
      </c>
      <c r="AF6" s="88">
        <f>'30'!E7</f>
        <v>42</v>
      </c>
      <c r="AG6" s="89">
        <f>'31'!E7</f>
        <v>92</v>
      </c>
      <c r="AI6" s="111">
        <f t="shared" ref="AI6:AI9" si="0">SUM(C6:AG6)</f>
        <v>2511</v>
      </c>
    </row>
    <row r="7" spans="1:35" ht="21">
      <c r="A7" s="1"/>
      <c r="B7" s="12" t="s">
        <v>27</v>
      </c>
      <c r="C7" s="87">
        <f>'1'!E8</f>
        <v>15</v>
      </c>
      <c r="D7" s="88">
        <f>'2'!E8</f>
        <v>7</v>
      </c>
      <c r="E7" s="88">
        <f>'3'!E8</f>
        <v>16</v>
      </c>
      <c r="F7" s="88">
        <f>'4'!E8</f>
        <v>15</v>
      </c>
      <c r="G7" s="88">
        <f>'5'!E8</f>
        <v>12</v>
      </c>
      <c r="H7" s="88">
        <f>' 6'!E8</f>
        <v>2</v>
      </c>
      <c r="I7" s="88">
        <f>'7'!E8</f>
        <v>6</v>
      </c>
      <c r="J7" s="88">
        <f>'8'!E8</f>
        <v>5</v>
      </c>
      <c r="K7" s="88">
        <f>'9'!E8</f>
        <v>0</v>
      </c>
      <c r="L7" s="88">
        <f>'10'!E8</f>
        <v>4</v>
      </c>
      <c r="M7" s="88">
        <f>'11'!E8</f>
        <v>15</v>
      </c>
      <c r="N7" s="88">
        <f>'12'!E8</f>
        <v>7</v>
      </c>
      <c r="O7" s="88">
        <f>'13'!E8</f>
        <v>5</v>
      </c>
      <c r="P7" s="88">
        <f>'14'!E8</f>
        <v>9</v>
      </c>
      <c r="Q7" s="88">
        <f>'15'!E8</f>
        <v>6</v>
      </c>
      <c r="R7" s="88">
        <f>'16'!E8</f>
        <v>13</v>
      </c>
      <c r="S7" s="88">
        <f>'17'!E8</f>
        <v>18</v>
      </c>
      <c r="T7" s="88">
        <f>'18'!E8</f>
        <v>16</v>
      </c>
      <c r="U7" s="88">
        <f>'19'!E8</f>
        <v>14</v>
      </c>
      <c r="V7" s="88">
        <f>'20'!E8</f>
        <v>1</v>
      </c>
      <c r="W7" s="88">
        <f>'21'!E8</f>
        <v>6</v>
      </c>
      <c r="X7" s="88">
        <f>'22'!E8</f>
        <v>4</v>
      </c>
      <c r="Y7" s="88">
        <f>'23'!E8</f>
        <v>12</v>
      </c>
      <c r="Z7" s="88">
        <f>'24'!E8</f>
        <v>26</v>
      </c>
      <c r="AA7" s="88">
        <f>'25'!E8</f>
        <v>30</v>
      </c>
      <c r="AB7" s="88">
        <f>'26'!E8</f>
        <v>50</v>
      </c>
      <c r="AC7" s="88">
        <f>'27'!E8</f>
        <v>2</v>
      </c>
      <c r="AD7" s="88">
        <f>'28'!E8</f>
        <v>5</v>
      </c>
      <c r="AE7" s="88">
        <f>'29'!E8</f>
        <v>0</v>
      </c>
      <c r="AF7" s="88">
        <f>'30'!E8</f>
        <v>6</v>
      </c>
      <c r="AG7" s="89">
        <f>'31'!E8</f>
        <v>21</v>
      </c>
      <c r="AI7" s="111">
        <f t="shared" si="0"/>
        <v>348</v>
      </c>
    </row>
    <row r="8" spans="1:35" ht="21">
      <c r="A8" s="1"/>
      <c r="B8" s="12" t="s">
        <v>33</v>
      </c>
      <c r="C8" s="87">
        <f>'1'!E9</f>
        <v>30</v>
      </c>
      <c r="D8" s="88">
        <f>'2'!E9</f>
        <v>51</v>
      </c>
      <c r="E8" s="88">
        <f>'3'!E9</f>
        <v>56</v>
      </c>
      <c r="F8" s="88">
        <f>'4'!E9</f>
        <v>41</v>
      </c>
      <c r="G8" s="88">
        <f>'5'!E9</f>
        <v>37</v>
      </c>
      <c r="H8" s="88">
        <f>' 6'!E9</f>
        <v>11</v>
      </c>
      <c r="I8" s="88">
        <f>'7'!E9</f>
        <v>3</v>
      </c>
      <c r="J8" s="88">
        <f>'8'!E9</f>
        <v>22</v>
      </c>
      <c r="K8" s="88">
        <f>'9'!E9</f>
        <v>3</v>
      </c>
      <c r="L8" s="88">
        <f>'10'!E9</f>
        <v>37</v>
      </c>
      <c r="M8" s="88">
        <f>'11'!E9</f>
        <v>27</v>
      </c>
      <c r="N8" s="88">
        <f>'12'!E9</f>
        <v>24</v>
      </c>
      <c r="O8" s="88">
        <f>'13'!E9</f>
        <v>11</v>
      </c>
      <c r="P8" s="88">
        <f>'14'!E9</f>
        <v>18</v>
      </c>
      <c r="Q8" s="88">
        <f>'15'!E9</f>
        <v>13</v>
      </c>
      <c r="R8" s="88">
        <f>'16'!E9</f>
        <v>20</v>
      </c>
      <c r="S8" s="88">
        <f>'17'!E9</f>
        <v>67</v>
      </c>
      <c r="T8" s="88">
        <f>'18'!E9</f>
        <v>37</v>
      </c>
      <c r="U8" s="88">
        <f>'19'!E9</f>
        <v>31</v>
      </c>
      <c r="V8" s="88">
        <f>'20'!E9</f>
        <v>6</v>
      </c>
      <c r="W8" s="88">
        <f>'21'!E9</f>
        <v>11</v>
      </c>
      <c r="X8" s="88">
        <f>'22'!E9</f>
        <v>6</v>
      </c>
      <c r="Y8" s="88">
        <f>'23'!E9</f>
        <v>14</v>
      </c>
      <c r="Z8" s="88">
        <f>'24'!E9</f>
        <v>55</v>
      </c>
      <c r="AA8" s="88">
        <f>'25'!E9</f>
        <v>56</v>
      </c>
      <c r="AB8" s="88">
        <f>'26'!E9</f>
        <v>55</v>
      </c>
      <c r="AC8" s="88">
        <f>'27'!E9</f>
        <v>22</v>
      </c>
      <c r="AD8" s="88">
        <f>'28'!E9</f>
        <v>25</v>
      </c>
      <c r="AE8" s="88">
        <f>'29'!E9</f>
        <v>4</v>
      </c>
      <c r="AF8" s="88">
        <f>'30'!E9</f>
        <v>35</v>
      </c>
      <c r="AG8" s="89">
        <f>'31'!E9</f>
        <v>43</v>
      </c>
      <c r="AI8" s="111">
        <f t="shared" si="0"/>
        <v>871</v>
      </c>
    </row>
    <row r="9" spans="1:35" ht="21.5" thickBot="1">
      <c r="A9" s="1"/>
      <c r="B9" s="12" t="s">
        <v>3</v>
      </c>
      <c r="C9" s="90">
        <f>'1'!E10</f>
        <v>1</v>
      </c>
      <c r="D9" s="91">
        <f>'2'!E10</f>
        <v>8</v>
      </c>
      <c r="E9" s="91">
        <f>'3'!E10</f>
        <v>0</v>
      </c>
      <c r="F9" s="91">
        <f>'4'!E10</f>
        <v>0</v>
      </c>
      <c r="G9" s="91">
        <f>'5'!E10</f>
        <v>17</v>
      </c>
      <c r="H9" s="91">
        <f>' 6'!E10</f>
        <v>0</v>
      </c>
      <c r="I9" s="91">
        <f>'7'!E10</f>
        <v>0</v>
      </c>
      <c r="J9" s="91">
        <f>'8'!E10</f>
        <v>1</v>
      </c>
      <c r="K9" s="91">
        <f>'9'!E10</f>
        <v>0</v>
      </c>
      <c r="L9" s="91">
        <f>'10'!E10</f>
        <v>6</v>
      </c>
      <c r="M9" s="91">
        <f>'11'!E10</f>
        <v>5</v>
      </c>
      <c r="N9" s="91">
        <f>'12'!E10</f>
        <v>8</v>
      </c>
      <c r="O9" s="91">
        <f>'13'!E10</f>
        <v>1</v>
      </c>
      <c r="P9" s="91">
        <f>'14'!E10</f>
        <v>0</v>
      </c>
      <c r="Q9" s="91">
        <f>'15'!E10</f>
        <v>0</v>
      </c>
      <c r="R9" s="91">
        <f>'16'!E10</f>
        <v>1</v>
      </c>
      <c r="S9" s="91">
        <f>'17'!E10</f>
        <v>3</v>
      </c>
      <c r="T9" s="91">
        <f>'18'!E10</f>
        <v>0</v>
      </c>
      <c r="U9" s="91">
        <f>'19'!E10</f>
        <v>1</v>
      </c>
      <c r="V9" s="91">
        <f>'20'!E10</f>
        <v>0</v>
      </c>
      <c r="W9" s="91">
        <f>'21'!E10</f>
        <v>6</v>
      </c>
      <c r="X9" s="91">
        <f>'22'!E10</f>
        <v>0</v>
      </c>
      <c r="Y9" s="91">
        <f>'23'!E10</f>
        <v>2</v>
      </c>
      <c r="Z9" s="91">
        <f>'24'!E10</f>
        <v>0</v>
      </c>
      <c r="AA9" s="91">
        <f>'25'!E10</f>
        <v>2</v>
      </c>
      <c r="AB9" s="91">
        <f>'26'!E10</f>
        <v>3</v>
      </c>
      <c r="AC9" s="91">
        <f>'27'!E10</f>
        <v>1</v>
      </c>
      <c r="AD9" s="91">
        <f>'28'!E10</f>
        <v>2</v>
      </c>
      <c r="AE9" s="91">
        <f>'29'!E10</f>
        <v>0</v>
      </c>
      <c r="AF9" s="91">
        <f>'30'!E10</f>
        <v>0</v>
      </c>
      <c r="AG9" s="92">
        <f>'31'!E10</f>
        <v>3</v>
      </c>
      <c r="AI9" s="111">
        <f t="shared" si="0"/>
        <v>71</v>
      </c>
    </row>
    <row r="10" spans="1:35" ht="21">
      <c r="A10" s="1"/>
      <c r="B10" s="12" t="s">
        <v>30</v>
      </c>
      <c r="C10" s="9">
        <f>'1'!E11</f>
        <v>186</v>
      </c>
      <c r="D10" s="9">
        <f>'2'!E11</f>
        <v>222</v>
      </c>
      <c r="E10" s="9">
        <f>'3'!E11</f>
        <v>257</v>
      </c>
      <c r="F10" s="9">
        <f>'4'!E11</f>
        <v>250</v>
      </c>
      <c r="G10" s="9">
        <f>'5'!E11</f>
        <v>241</v>
      </c>
      <c r="H10" s="9">
        <f>' 6'!E11</f>
        <v>58</v>
      </c>
      <c r="I10" s="9">
        <f>'7'!E11</f>
        <v>30</v>
      </c>
      <c r="J10" s="9">
        <f>'8'!E11</f>
        <v>98</v>
      </c>
      <c r="K10" s="9">
        <f>'9'!E11</f>
        <v>18</v>
      </c>
      <c r="L10" s="9">
        <f>'10'!E11</f>
        <v>147</v>
      </c>
      <c r="M10" s="9">
        <f>'11'!E11</f>
        <v>165</v>
      </c>
      <c r="N10" s="9">
        <f>'12'!E11</f>
        <v>110</v>
      </c>
      <c r="O10" s="9">
        <f>'13'!E11</f>
        <v>55</v>
      </c>
      <c r="P10" s="9">
        <f>'14'!E11</f>
        <v>59</v>
      </c>
      <c r="Q10" s="9">
        <f>'15'!E11</f>
        <v>84</v>
      </c>
      <c r="R10" s="9">
        <f>'16'!E11</f>
        <v>104</v>
      </c>
      <c r="S10" s="9">
        <f>'17'!E11</f>
        <v>242</v>
      </c>
      <c r="T10" s="9">
        <f>'18'!E11</f>
        <v>184</v>
      </c>
      <c r="U10" s="9">
        <f>'19'!E11</f>
        <v>139</v>
      </c>
      <c r="V10" s="9">
        <f>'20'!E11</f>
        <v>33</v>
      </c>
      <c r="W10" s="9">
        <f>'21'!E11</f>
        <v>99</v>
      </c>
      <c r="X10" s="9">
        <f>'22'!E11</f>
        <v>82</v>
      </c>
      <c r="Y10" s="9">
        <f>'23'!E11</f>
        <v>74</v>
      </c>
      <c r="Z10" s="9">
        <f>'24'!E11</f>
        <v>197</v>
      </c>
      <c r="AA10" s="9">
        <f>'25'!E11</f>
        <v>238</v>
      </c>
      <c r="AB10" s="9">
        <f>'26'!E11</f>
        <v>471</v>
      </c>
      <c r="AC10" s="9">
        <f>'27'!E11</f>
        <v>79</v>
      </c>
      <c r="AD10" s="9">
        <f>'28'!E11</f>
        <v>81</v>
      </c>
      <c r="AE10" s="9">
        <f>'29'!E11</f>
        <v>0</v>
      </c>
      <c r="AF10" s="9">
        <f>'30'!E11</f>
        <v>91</v>
      </c>
      <c r="AG10" s="9">
        <f>'31'!E11</f>
        <v>176</v>
      </c>
      <c r="AI10" s="112">
        <f>SUM(C10:AG10)</f>
        <v>4270</v>
      </c>
    </row>
  </sheetData>
  <mergeCells count="2">
    <mergeCell ref="A1:B1"/>
    <mergeCell ref="A4:B4"/>
  </mergeCells>
  <hyperlinks>
    <hyperlink ref="C1" location="الرئيسية!A1" display="الصفحة الرئيسية" xr:uid="{FA46FF29-DF3E-4DDD-B4AB-B91EFD0FE749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46"/>
  <sheetViews>
    <sheetView rightToLeft="1" topLeftCell="A13" zoomScale="85" zoomScaleNormal="85" workbookViewId="0">
      <selection activeCell="N13" sqref="N13"/>
    </sheetView>
  </sheetViews>
  <sheetFormatPr defaultRowHeight="15.5"/>
  <cols>
    <col min="1" max="2" width="15.6328125" style="1" customWidth="1"/>
    <col min="3" max="3" width="17" style="8" customWidth="1"/>
    <col min="4" max="4" width="9.08984375" style="59"/>
  </cols>
  <sheetData>
    <row r="1" spans="1:7" ht="61">
      <c r="A1" s="120" t="s">
        <v>34</v>
      </c>
      <c r="B1" s="120"/>
      <c r="C1" s="57" t="s">
        <v>53</v>
      </c>
    </row>
    <row r="3" spans="1:7" ht="26">
      <c r="A3" s="13" t="s">
        <v>0</v>
      </c>
      <c r="B3" s="36"/>
    </row>
    <row r="5" spans="1:7" ht="29" thickBot="1">
      <c r="A5" s="121" t="s">
        <v>1</v>
      </c>
      <c r="B5" s="121"/>
      <c r="C5" s="32" t="s">
        <v>32</v>
      </c>
    </row>
    <row r="6" spans="1:7" ht="21">
      <c r="B6" s="12" t="s">
        <v>4</v>
      </c>
      <c r="C6" s="15">
        <f>ايام!AI5</f>
        <v>1523.8888888888887</v>
      </c>
      <c r="D6" s="59">
        <f>(C6/$C$11)</f>
        <v>0.13650841047078727</v>
      </c>
    </row>
    <row r="7" spans="1:7" ht="21">
      <c r="B7" s="12" t="s">
        <v>28</v>
      </c>
      <c r="C7" s="17">
        <f>ايام!AI6</f>
        <v>5076.7777777777792</v>
      </c>
      <c r="D7" s="59">
        <f t="shared" ref="D7:D10" si="0">(C7/$C$11)</f>
        <v>0.45477256892604767</v>
      </c>
    </row>
    <row r="8" spans="1:7" ht="21">
      <c r="B8" s="12" t="s">
        <v>27</v>
      </c>
      <c r="C8" s="17">
        <f>ايام!AI7</f>
        <v>1180.3333333333333</v>
      </c>
      <c r="D8" s="59">
        <f t="shared" si="0"/>
        <v>0.10573305464317706</v>
      </c>
    </row>
    <row r="9" spans="1:7" ht="21">
      <c r="B9" s="12" t="s">
        <v>33</v>
      </c>
      <c r="C9" s="17">
        <f>ايام!AI8</f>
        <v>2150.5555555555561</v>
      </c>
      <c r="D9" s="59">
        <f t="shared" si="0"/>
        <v>0.19264457051856279</v>
      </c>
      <c r="G9" s="42">
        <f>C9</f>
        <v>2150.5555555555561</v>
      </c>
    </row>
    <row r="10" spans="1:7" ht="21.5" thickBot="1">
      <c r="B10" s="12" t="s">
        <v>3</v>
      </c>
      <c r="C10" s="19">
        <f>ايام!AI9</f>
        <v>1231.7777777777778</v>
      </c>
      <c r="D10" s="59">
        <f t="shared" si="0"/>
        <v>0.11034139544142529</v>
      </c>
    </row>
    <row r="11" spans="1:7" ht="21">
      <c r="B11" s="12" t="s">
        <v>30</v>
      </c>
      <c r="C11" s="9">
        <f>ايام!AI10</f>
        <v>11163.333333333334</v>
      </c>
    </row>
    <row r="12" spans="1:7" ht="24" thickBot="1">
      <c r="A12" s="121" t="s">
        <v>2</v>
      </c>
      <c r="B12" s="121"/>
      <c r="C12" s="40">
        <f>ايام!AI11</f>
        <v>0</v>
      </c>
    </row>
    <row r="13" spans="1:7" ht="19" thickBot="1">
      <c r="A13" s="33" t="s">
        <v>4</v>
      </c>
      <c r="B13" s="3" t="s">
        <v>5</v>
      </c>
      <c r="C13" s="29">
        <f>ايام!AI12</f>
        <v>200.88888888888889</v>
      </c>
      <c r="D13" s="60">
        <f>(C13/$C$37)</f>
        <v>1.2212008032510425E-2</v>
      </c>
      <c r="G13" s="42">
        <f>C6-SUM(C13:C15)</f>
        <v>669.7777777777776</v>
      </c>
    </row>
    <row r="14" spans="1:7" ht="18.5">
      <c r="A14" s="2"/>
      <c r="B14" s="3" t="s">
        <v>6</v>
      </c>
      <c r="C14" s="21">
        <f>ايام!AI13</f>
        <v>595</v>
      </c>
      <c r="D14" s="61">
        <f t="shared" ref="D14:D35" si="1">(C14/$C$37)</f>
        <v>3.616996848124631E-2</v>
      </c>
    </row>
    <row r="15" spans="1:7" ht="18.5">
      <c r="A15" s="2"/>
      <c r="B15" s="3" t="s">
        <v>7</v>
      </c>
      <c r="C15" s="21">
        <f>ايام!AI14</f>
        <v>58.222222222222221</v>
      </c>
      <c r="D15" s="61">
        <f t="shared" si="1"/>
        <v>3.5393209120771364E-3</v>
      </c>
    </row>
    <row r="16" spans="1:7" ht="19" thickBot="1">
      <c r="A16" s="34" t="s">
        <v>8</v>
      </c>
      <c r="B16" s="5" t="s">
        <v>9</v>
      </c>
      <c r="C16" s="23">
        <f>ايام!AI15</f>
        <v>238.11111111111111</v>
      </c>
      <c r="D16" s="61">
        <f t="shared" si="1"/>
        <v>1.4474741821720045E-2</v>
      </c>
      <c r="G16" s="42">
        <f>C7+C8+C9-SUM(C16:C30)+C33+C34</f>
        <v>6278.2222333333348</v>
      </c>
    </row>
    <row r="17" spans="1:4" ht="18.5">
      <c r="A17" s="4"/>
      <c r="B17" s="5" t="s">
        <v>10</v>
      </c>
      <c r="C17" s="23">
        <f>ايام!AI16</f>
        <v>257.44444444444446</v>
      </c>
      <c r="D17" s="61">
        <f t="shared" si="1"/>
        <v>1.5650012506264743E-2</v>
      </c>
    </row>
    <row r="18" spans="1:4" ht="18.5">
      <c r="A18" s="4"/>
      <c r="B18" s="5" t="s">
        <v>11</v>
      </c>
      <c r="C18" s="23">
        <f>ايام!AI17</f>
        <v>0</v>
      </c>
      <c r="D18" s="61">
        <f t="shared" si="1"/>
        <v>0</v>
      </c>
    </row>
    <row r="19" spans="1:4" ht="18.5">
      <c r="A19" s="4"/>
      <c r="B19" s="5" t="s">
        <v>12</v>
      </c>
      <c r="C19" s="23">
        <f>ايام!AI18</f>
        <v>325.77777777777783</v>
      </c>
      <c r="D19" s="61">
        <f t="shared" si="1"/>
        <v>1.9803986477500316E-2</v>
      </c>
    </row>
    <row r="20" spans="1:4" ht="18.5">
      <c r="A20" s="4"/>
      <c r="B20" s="5" t="s">
        <v>13</v>
      </c>
      <c r="C20" s="23">
        <f>ايام!AI19</f>
        <v>0</v>
      </c>
      <c r="D20" s="61">
        <f t="shared" si="1"/>
        <v>0</v>
      </c>
    </row>
    <row r="21" spans="1:4" ht="18.5">
      <c r="A21" s="4"/>
      <c r="B21" s="5" t="s">
        <v>29</v>
      </c>
      <c r="C21" s="23">
        <f>ايام!AI20</f>
        <v>197</v>
      </c>
      <c r="D21" s="61">
        <f t="shared" si="1"/>
        <v>1.1975603009757181E-2</v>
      </c>
    </row>
    <row r="22" spans="1:4" ht="18.5">
      <c r="A22" s="4"/>
      <c r="B22" s="5" t="s">
        <v>14</v>
      </c>
      <c r="C22" s="23">
        <f>ايام!AI21</f>
        <v>20</v>
      </c>
      <c r="D22" s="61">
        <f t="shared" si="1"/>
        <v>1.2157972598738256E-3</v>
      </c>
    </row>
    <row r="23" spans="1:4" ht="18.5">
      <c r="A23" s="4"/>
      <c r="B23" s="5" t="s">
        <v>15</v>
      </c>
      <c r="C23" s="23">
        <f>ايام!AI22</f>
        <v>69</v>
      </c>
      <c r="D23" s="61">
        <f t="shared" si="1"/>
        <v>4.1945005465646983E-3</v>
      </c>
    </row>
    <row r="24" spans="1:4" ht="18.5">
      <c r="A24" s="4"/>
      <c r="B24" s="5" t="s">
        <v>16</v>
      </c>
      <c r="C24" s="23">
        <f>ايام!AI23</f>
        <v>98.333322222222222</v>
      </c>
      <c r="D24" s="61">
        <f t="shared" si="1"/>
        <v>5.9776691856033865E-3</v>
      </c>
    </row>
    <row r="25" spans="1:4" ht="21.5" thickBot="1">
      <c r="A25" s="35" t="s">
        <v>17</v>
      </c>
      <c r="B25" s="6" t="s">
        <v>18</v>
      </c>
      <c r="C25" s="25">
        <f>ايام!AI24</f>
        <v>0</v>
      </c>
      <c r="D25" s="61">
        <f t="shared" si="1"/>
        <v>0</v>
      </c>
    </row>
    <row r="26" spans="1:4" ht="18.5">
      <c r="A26" s="7"/>
      <c r="B26" s="6" t="s">
        <v>19</v>
      </c>
      <c r="C26" s="25">
        <f>ايام!AI25</f>
        <v>66</v>
      </c>
      <c r="D26" s="61">
        <f t="shared" si="1"/>
        <v>4.0121309575836244E-3</v>
      </c>
    </row>
    <row r="27" spans="1:4" ht="18.5">
      <c r="A27" s="7"/>
      <c r="B27" s="6" t="s">
        <v>20</v>
      </c>
      <c r="C27" s="25">
        <f>ايام!AI26</f>
        <v>97.333333333333343</v>
      </c>
      <c r="D27" s="61">
        <f t="shared" si="1"/>
        <v>5.9168799980526179E-3</v>
      </c>
    </row>
    <row r="28" spans="1:4" ht="18.5">
      <c r="A28" s="7"/>
      <c r="B28" s="6" t="s">
        <v>3</v>
      </c>
      <c r="C28" s="25">
        <f>ايام!AI27</f>
        <v>191.2222222222222</v>
      </c>
      <c r="D28" s="61">
        <f t="shared" si="1"/>
        <v>1.1624372690238076E-2</v>
      </c>
    </row>
    <row r="29" spans="1:4" ht="18.5">
      <c r="A29" s="7"/>
      <c r="B29" s="6" t="s">
        <v>24</v>
      </c>
      <c r="C29" s="25">
        <f>ايام!AI28</f>
        <v>0</v>
      </c>
      <c r="D29" s="61">
        <f t="shared" si="1"/>
        <v>0</v>
      </c>
    </row>
    <row r="30" spans="1:4" ht="18.5">
      <c r="A30" s="7"/>
      <c r="B30" s="6" t="s">
        <v>25</v>
      </c>
      <c r="C30" s="25">
        <f>ايام!AI29</f>
        <v>635.88888888888891</v>
      </c>
      <c r="D30" s="61">
        <f t="shared" si="1"/>
        <v>3.8655598434766132E-2</v>
      </c>
    </row>
    <row r="31" spans="1:4" ht="18.5">
      <c r="A31" s="7"/>
      <c r="B31" s="6" t="s">
        <v>26</v>
      </c>
      <c r="C31" s="25">
        <f>ايام!AI30</f>
        <v>9656</v>
      </c>
      <c r="D31" s="61">
        <f t="shared" si="1"/>
        <v>0.58698691706708295</v>
      </c>
    </row>
    <row r="32" spans="1:4" ht="18.5">
      <c r="A32" s="7"/>
      <c r="B32" s="6" t="s">
        <v>40</v>
      </c>
      <c r="C32" s="25">
        <f>ايام!AI31</f>
        <v>411.66666666666674</v>
      </c>
      <c r="D32" s="61">
        <f t="shared" si="1"/>
        <v>2.5025160265736247E-2</v>
      </c>
    </row>
    <row r="33" spans="1:4" ht="18.5">
      <c r="A33" s="7"/>
      <c r="B33" s="6" t="s">
        <v>42</v>
      </c>
      <c r="C33" s="25">
        <f>ايام!AI32</f>
        <v>0</v>
      </c>
      <c r="D33" s="61">
        <f t="shared" si="1"/>
        <v>0</v>
      </c>
    </row>
    <row r="34" spans="1:4" ht="18.5">
      <c r="A34" s="7"/>
      <c r="B34" s="6" t="s">
        <v>35</v>
      </c>
      <c r="C34" s="25">
        <f>ايام!AI33</f>
        <v>66.666666666666657</v>
      </c>
      <c r="D34" s="61">
        <f t="shared" si="1"/>
        <v>4.0526575329127516E-3</v>
      </c>
    </row>
    <row r="35" spans="1:4" ht="21.5" thickBot="1">
      <c r="A35" s="7"/>
      <c r="B35" s="43" t="s">
        <v>41</v>
      </c>
      <c r="C35" s="27">
        <f>ايام!AI34</f>
        <v>3265.5555555555557</v>
      </c>
      <c r="D35" s="62">
        <f t="shared" si="1"/>
        <v>0.19851267482050963</v>
      </c>
    </row>
    <row r="37" spans="1:4" ht="23.5">
      <c r="A37" s="122" t="s">
        <v>21</v>
      </c>
      <c r="B37" s="122"/>
      <c r="C37" s="30">
        <f>SUM(C13:C35)</f>
        <v>16450.111099999998</v>
      </c>
    </row>
    <row r="38" spans="1:4" ht="23.5">
      <c r="A38" s="122" t="s">
        <v>55</v>
      </c>
      <c r="B38" s="122"/>
      <c r="C38" s="31">
        <v>27120.388888888883</v>
      </c>
    </row>
    <row r="39" spans="1:4" ht="23.5">
      <c r="A39" s="11"/>
      <c r="B39" s="11"/>
      <c r="C39" s="10"/>
    </row>
    <row r="40" spans="1:4" ht="23.5">
      <c r="A40" s="122" t="s">
        <v>23</v>
      </c>
      <c r="B40" s="122"/>
      <c r="C40" s="96">
        <f>C11+C38-C37</f>
        <v>21833.611122222221</v>
      </c>
    </row>
    <row r="42" spans="1:4" ht="23.5">
      <c r="B42" s="37"/>
    </row>
    <row r="43" spans="1:4" ht="23.5">
      <c r="A43" s="118" t="s">
        <v>43</v>
      </c>
      <c r="B43" s="118"/>
      <c r="C43" s="47"/>
    </row>
    <row r="44" spans="1:4" ht="18.5">
      <c r="A44" s="119"/>
      <c r="B44" s="119"/>
      <c r="C44" s="119"/>
    </row>
    <row r="45" spans="1:4" ht="18.5">
      <c r="A45" s="119"/>
      <c r="B45" s="119"/>
      <c r="C45" s="119"/>
    </row>
    <row r="46" spans="1:4" ht="18.5">
      <c r="A46" s="119"/>
      <c r="B46" s="119"/>
      <c r="C46" s="119"/>
    </row>
  </sheetData>
  <mergeCells count="10">
    <mergeCell ref="A43:B43"/>
    <mergeCell ref="A44:C44"/>
    <mergeCell ref="A45:C45"/>
    <mergeCell ref="A46:C46"/>
    <mergeCell ref="A1:B1"/>
    <mergeCell ref="A5:B5"/>
    <mergeCell ref="A12:B12"/>
    <mergeCell ref="A37:B37"/>
    <mergeCell ref="A38:B38"/>
    <mergeCell ref="A40:B40"/>
  </mergeCells>
  <hyperlinks>
    <hyperlink ref="C1" location="الرئيسية!A1" display="الصفحة الرئيسية" xr:uid="{00000000-0004-0000-2200-000000000000}"/>
  </hyperlinks>
  <pageMargins left="0.7" right="0.7" top="0.41" bottom="0.3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S36"/>
  <sheetViews>
    <sheetView showGridLines="0" rightToLeft="1" zoomScale="75" zoomScaleNormal="75" workbookViewId="0">
      <selection activeCell="S2" sqref="S2"/>
    </sheetView>
  </sheetViews>
  <sheetFormatPr defaultRowHeight="14.5"/>
  <cols>
    <col min="1" max="3" width="1.453125" style="39" customWidth="1"/>
    <col min="4" max="4" width="29.36328125" customWidth="1"/>
  </cols>
  <sheetData>
    <row r="2" spans="1:19" ht="84">
      <c r="A2" s="63" t="s">
        <v>96</v>
      </c>
      <c r="B2" s="39" t="s">
        <v>94</v>
      </c>
      <c r="C2" s="39" t="s">
        <v>95</v>
      </c>
      <c r="D2" s="55" t="s">
        <v>56</v>
      </c>
      <c r="S2" s="57" t="s">
        <v>53</v>
      </c>
    </row>
    <row r="3" spans="1:19" ht="21">
      <c r="A3" s="64" t="s">
        <v>4</v>
      </c>
      <c r="B3" s="40">
        <f>مجموع!C6</f>
        <v>1523.8888888888887</v>
      </c>
      <c r="C3" s="40">
        <f>كميات!AI5</f>
        <v>469</v>
      </c>
    </row>
    <row r="4" spans="1:19" ht="21">
      <c r="A4" s="64" t="s">
        <v>28</v>
      </c>
      <c r="B4" s="40">
        <f>مجموع!C7</f>
        <v>5076.7777777777792</v>
      </c>
      <c r="C4" s="40">
        <f>كميات!AI6</f>
        <v>2511</v>
      </c>
    </row>
    <row r="5" spans="1:19" ht="21">
      <c r="A5" s="64" t="s">
        <v>27</v>
      </c>
      <c r="B5" s="40">
        <f>مجموع!C8</f>
        <v>1180.3333333333333</v>
      </c>
      <c r="C5" s="40">
        <f>كميات!AI7</f>
        <v>348</v>
      </c>
    </row>
    <row r="6" spans="1:19" ht="21">
      <c r="A6" s="64" t="s">
        <v>33</v>
      </c>
      <c r="B6" s="40">
        <f>مجموع!C9</f>
        <v>2150.5555555555561</v>
      </c>
      <c r="C6" s="40">
        <f>كميات!AI8</f>
        <v>871</v>
      </c>
    </row>
    <row r="7" spans="1:19" ht="21">
      <c r="A7" s="64" t="s">
        <v>3</v>
      </c>
      <c r="B7" s="40">
        <f>مجموع!C10</f>
        <v>1231.7777777777778</v>
      </c>
      <c r="C7" s="40">
        <f>كميات!AI9</f>
        <v>71</v>
      </c>
    </row>
    <row r="8" spans="1:19">
      <c r="A8" s="65"/>
      <c r="B8" s="65"/>
      <c r="C8" s="65"/>
    </row>
    <row r="9" spans="1:19">
      <c r="A9" s="65"/>
      <c r="B9" s="65"/>
      <c r="C9" s="65"/>
    </row>
    <row r="10" spans="1:19" ht="45.75" customHeight="1">
      <c r="A10" s="66" t="s">
        <v>57</v>
      </c>
      <c r="B10" s="65"/>
      <c r="C10" s="65"/>
      <c r="D10" s="55" t="s">
        <v>57</v>
      </c>
    </row>
    <row r="11" spans="1:19">
      <c r="A11" s="65" t="str">
        <f>مجموع!B13</f>
        <v>معسل</v>
      </c>
      <c r="B11" s="67">
        <f>مجموع!C13</f>
        <v>200.88888888888889</v>
      </c>
      <c r="C11" s="67"/>
    </row>
    <row r="12" spans="1:19">
      <c r="A12" s="65" t="str">
        <f>مجموع!B14</f>
        <v>فحم</v>
      </c>
      <c r="B12" s="67">
        <f>مجموع!C14</f>
        <v>595</v>
      </c>
      <c r="C12" s="67"/>
    </row>
    <row r="13" spans="1:19">
      <c r="A13" s="65" t="str">
        <f>مجموع!B15</f>
        <v>نرابيج و لوازم</v>
      </c>
      <c r="B13" s="67">
        <f>مجموع!C15</f>
        <v>58.222222222222221</v>
      </c>
      <c r="C13" s="67"/>
    </row>
    <row r="14" spans="1:19">
      <c r="A14" s="65" t="str">
        <f>مجموع!B16</f>
        <v>فواكهة</v>
      </c>
      <c r="B14" s="67">
        <f>مجموع!C16</f>
        <v>238.11111111111111</v>
      </c>
      <c r="C14" s="67"/>
    </row>
    <row r="15" spans="1:19">
      <c r="A15" s="65" t="str">
        <f>مجموع!B17</f>
        <v>عسل</v>
      </c>
      <c r="B15" s="67">
        <f>مجموع!C17</f>
        <v>257.44444444444446</v>
      </c>
      <c r="C15" s="67"/>
    </row>
    <row r="16" spans="1:19">
      <c r="A16" s="65" t="str">
        <f>مجموع!B18</f>
        <v>نسلة</v>
      </c>
      <c r="B16" s="67">
        <f>مجموع!C18</f>
        <v>0</v>
      </c>
      <c r="C16" s="67"/>
    </row>
    <row r="17" spans="1:3">
      <c r="A17" s="65" t="str">
        <f>مجموع!B19</f>
        <v>شوكولا</v>
      </c>
      <c r="B17" s="67">
        <f>مجموع!C19</f>
        <v>325.77777777777783</v>
      </c>
      <c r="C17" s="67"/>
    </row>
    <row r="18" spans="1:3">
      <c r="A18" s="65" t="str">
        <f>مجموع!B20</f>
        <v>حليب</v>
      </c>
      <c r="B18" s="67">
        <f>مجموع!C20</f>
        <v>0</v>
      </c>
      <c r="C18" s="67"/>
    </row>
    <row r="19" spans="1:3">
      <c r="A19" s="65" t="str">
        <f>مجموع!B21</f>
        <v>مشروبات غازية</v>
      </c>
      <c r="B19" s="67">
        <f>مجموع!C21</f>
        <v>197</v>
      </c>
      <c r="C19" s="67"/>
    </row>
    <row r="20" spans="1:3">
      <c r="A20" s="65" t="str">
        <f>مجموع!B22</f>
        <v>نيسكافيه و كابتشينو</v>
      </c>
      <c r="B20" s="67">
        <f>مجموع!C22</f>
        <v>20</v>
      </c>
      <c r="C20" s="67"/>
    </row>
    <row r="21" spans="1:3">
      <c r="A21" s="65" t="str">
        <f>مجموع!B23</f>
        <v>قهوة مكنة</v>
      </c>
      <c r="B21" s="67">
        <f>مجموع!C23</f>
        <v>69</v>
      </c>
      <c r="C21" s="67"/>
    </row>
    <row r="22" spans="1:3">
      <c r="A22" s="65" t="str">
        <f>مجموع!B24</f>
        <v>لوازم أخرى</v>
      </c>
      <c r="B22" s="67">
        <f>مجموع!C24</f>
        <v>98.333322222222222</v>
      </c>
      <c r="C22" s="67"/>
    </row>
    <row r="23" spans="1:3">
      <c r="A23" s="65" t="str">
        <f>مجموع!B25</f>
        <v>كبيايات</v>
      </c>
      <c r="B23" s="67">
        <f>مجموع!C25</f>
        <v>0</v>
      </c>
      <c r="C23" s="67"/>
    </row>
    <row r="24" spans="1:3">
      <c r="A24" s="65" t="str">
        <f>مجموع!B26</f>
        <v>محارم</v>
      </c>
      <c r="B24" s="67">
        <f>مجموع!C26</f>
        <v>66</v>
      </c>
      <c r="C24" s="67"/>
    </row>
    <row r="25" spans="1:3">
      <c r="A25" s="65" t="str">
        <f>مجموع!B27</f>
        <v>مواد تنظيف</v>
      </c>
      <c r="B25" s="67">
        <f>مجموع!C27</f>
        <v>97.333333333333343</v>
      </c>
      <c r="C25" s="67"/>
    </row>
    <row r="26" spans="1:3">
      <c r="A26" s="65" t="str">
        <f>مجموع!B28</f>
        <v>مختلف</v>
      </c>
      <c r="B26" s="67">
        <f>مجموع!C28</f>
        <v>191.2222222222222</v>
      </c>
      <c r="C26" s="67"/>
    </row>
    <row r="27" spans="1:3">
      <c r="A27" s="65" t="str">
        <f>مجموع!B29</f>
        <v>مازوت</v>
      </c>
      <c r="B27" s="67">
        <f>مجموع!C29</f>
        <v>0</v>
      </c>
      <c r="C27" s="67"/>
    </row>
    <row r="28" spans="1:3">
      <c r="A28" s="65" t="str">
        <f>مجموع!B30</f>
        <v>صيانة</v>
      </c>
      <c r="B28" s="67">
        <f>مجموع!C30</f>
        <v>635.88888888888891</v>
      </c>
      <c r="C28" s="67"/>
    </row>
    <row r="29" spans="1:3">
      <c r="A29" s="65" t="str">
        <f>مجموع!B31</f>
        <v>اقتناء أصول</v>
      </c>
      <c r="B29" s="67">
        <f>مجموع!C31</f>
        <v>9656</v>
      </c>
      <c r="C29" s="67"/>
    </row>
    <row r="30" spans="1:3">
      <c r="A30" s="65" t="str">
        <f>مجموع!B32</f>
        <v>سلف موظفين</v>
      </c>
      <c r="B30" s="67">
        <f>مجموع!C32</f>
        <v>411.66666666666674</v>
      </c>
      <c r="C30" s="67"/>
    </row>
    <row r="31" spans="1:3">
      <c r="A31" s="65" t="str">
        <f>مجموع!B33</f>
        <v>بنزين</v>
      </c>
      <c r="B31" s="67">
        <f>مجموع!C33</f>
        <v>0</v>
      </c>
      <c r="C31" s="67"/>
    </row>
    <row r="32" spans="1:3">
      <c r="A32" s="65" t="str">
        <f>مجموع!B34</f>
        <v>نقل</v>
      </c>
      <c r="B32" s="67">
        <f>مجموع!C34</f>
        <v>66.666666666666657</v>
      </c>
      <c r="C32" s="67"/>
    </row>
    <row r="33" spans="1:3">
      <c r="A33" s="65" t="str">
        <f>مجموع!B35</f>
        <v>رواتب</v>
      </c>
      <c r="B33" s="67">
        <f>مجموع!C35</f>
        <v>3265.5555555555557</v>
      </c>
      <c r="C33" s="67"/>
    </row>
    <row r="34" spans="1:3">
      <c r="A34" s="65"/>
      <c r="B34" s="65"/>
      <c r="C34" s="65"/>
    </row>
    <row r="35" spans="1:3">
      <c r="A35" s="65"/>
      <c r="B35" s="65"/>
      <c r="C35" s="65"/>
    </row>
    <row r="36" spans="1:3">
      <c r="A36" s="65"/>
      <c r="B36" s="65"/>
      <c r="C36" s="65"/>
    </row>
  </sheetData>
  <hyperlinks>
    <hyperlink ref="S2" location="الرئيسية!A1" display="الصفحة الرئيسية" xr:uid="{00000000-0004-0000-2300-000000000000}"/>
  </hyperlinks>
  <pageMargins left="0.7" right="0.7" top="0.75" bottom="0.75" header="0.3" footer="0.3"/>
  <pageSetup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125"/>
  <sheetViews>
    <sheetView rightToLeft="1" workbookViewId="0">
      <selection activeCell="F21" sqref="F21"/>
    </sheetView>
  </sheetViews>
  <sheetFormatPr defaultRowHeight="14.5"/>
  <cols>
    <col min="2" max="2" width="10.6328125" bestFit="1" customWidth="1"/>
    <col min="3" max="3" width="11.54296875" bestFit="1" customWidth="1"/>
    <col min="6" max="6" width="12.54296875" bestFit="1" customWidth="1"/>
    <col min="7" max="7" width="11.54296875" bestFit="1" customWidth="1"/>
  </cols>
  <sheetData>
    <row r="1" spans="1:7">
      <c r="A1" t="s">
        <v>45</v>
      </c>
      <c r="B1" t="s">
        <v>46</v>
      </c>
      <c r="C1" t="s">
        <v>47</v>
      </c>
      <c r="F1" s="98" t="s">
        <v>77</v>
      </c>
      <c r="G1" t="s">
        <v>79</v>
      </c>
    </row>
    <row r="2" spans="1:7">
      <c r="A2" t="s">
        <v>44</v>
      </c>
      <c r="B2" s="42">
        <v>250000</v>
      </c>
      <c r="C2" s="48">
        <v>45931</v>
      </c>
      <c r="F2" s="114" t="s">
        <v>82</v>
      </c>
      <c r="G2" s="42">
        <v>2300000</v>
      </c>
    </row>
    <row r="3" spans="1:7">
      <c r="A3" t="s">
        <v>105</v>
      </c>
      <c r="B3" s="42">
        <v>500000</v>
      </c>
      <c r="C3" s="48">
        <v>45931</v>
      </c>
      <c r="F3" s="114" t="s">
        <v>107</v>
      </c>
      <c r="G3" s="42">
        <v>4640000</v>
      </c>
    </row>
    <row r="4" spans="1:7">
      <c r="A4" t="s">
        <v>44</v>
      </c>
      <c r="B4" s="42">
        <v>1800000</v>
      </c>
      <c r="C4" s="48">
        <v>45932</v>
      </c>
      <c r="F4" s="114" t="s">
        <v>97</v>
      </c>
      <c r="G4" s="42">
        <v>800000</v>
      </c>
    </row>
    <row r="5" spans="1:7">
      <c r="A5" t="s">
        <v>82</v>
      </c>
      <c r="B5" s="42">
        <v>100000</v>
      </c>
      <c r="C5" s="48">
        <v>45932</v>
      </c>
      <c r="F5" s="114" t="s">
        <v>105</v>
      </c>
      <c r="G5" s="42">
        <v>500000</v>
      </c>
    </row>
    <row r="6" spans="1:7">
      <c r="A6" t="s">
        <v>80</v>
      </c>
      <c r="B6" s="42">
        <v>100000</v>
      </c>
      <c r="C6" s="48">
        <v>45932</v>
      </c>
      <c r="F6" s="114" t="s">
        <v>44</v>
      </c>
      <c r="G6" s="42">
        <v>9700000</v>
      </c>
    </row>
    <row r="7" spans="1:7">
      <c r="A7" t="s">
        <v>81</v>
      </c>
      <c r="B7" s="42">
        <v>1160000</v>
      </c>
      <c r="C7" s="48">
        <v>45933</v>
      </c>
      <c r="F7" s="114" t="s">
        <v>80</v>
      </c>
      <c r="G7" s="42">
        <v>17050000</v>
      </c>
    </row>
    <row r="8" spans="1:7">
      <c r="A8" t="s">
        <v>44</v>
      </c>
      <c r="B8" s="42">
        <v>200000</v>
      </c>
      <c r="C8" s="48">
        <v>45933</v>
      </c>
      <c r="F8" s="114" t="s">
        <v>81</v>
      </c>
      <c r="G8" s="42">
        <v>2060000</v>
      </c>
    </row>
    <row r="9" spans="1:7">
      <c r="A9" t="s">
        <v>44</v>
      </c>
      <c r="B9" s="42">
        <v>100000</v>
      </c>
      <c r="C9" s="48">
        <v>45934</v>
      </c>
      <c r="F9" s="114" t="s">
        <v>78</v>
      </c>
      <c r="G9" s="42">
        <v>37050000</v>
      </c>
    </row>
    <row r="10" spans="1:7">
      <c r="A10" t="s">
        <v>80</v>
      </c>
      <c r="B10" s="42">
        <v>100000</v>
      </c>
      <c r="C10" s="48">
        <v>45934</v>
      </c>
    </row>
    <row r="11" spans="1:7">
      <c r="A11" t="s">
        <v>44</v>
      </c>
      <c r="B11" s="42">
        <v>350000</v>
      </c>
      <c r="C11" s="48">
        <v>45935</v>
      </c>
    </row>
    <row r="12" spans="1:7">
      <c r="A12" t="s">
        <v>44</v>
      </c>
      <c r="B12" s="42">
        <v>280000</v>
      </c>
      <c r="C12" s="48">
        <v>45936</v>
      </c>
    </row>
    <row r="13" spans="1:7">
      <c r="A13" t="s">
        <v>44</v>
      </c>
      <c r="B13" s="42">
        <v>100000</v>
      </c>
      <c r="C13" s="48">
        <v>45936</v>
      </c>
    </row>
    <row r="14" spans="1:7">
      <c r="A14" t="s">
        <v>44</v>
      </c>
      <c r="B14" s="42">
        <v>1370000</v>
      </c>
      <c r="C14" s="48">
        <v>45940</v>
      </c>
    </row>
    <row r="15" spans="1:7">
      <c r="A15" t="s">
        <v>80</v>
      </c>
      <c r="B15" s="42">
        <v>100000</v>
      </c>
      <c r="C15" s="48">
        <v>45940</v>
      </c>
    </row>
    <row r="16" spans="1:7">
      <c r="A16" t="s">
        <v>80</v>
      </c>
      <c r="B16" s="42">
        <v>100000</v>
      </c>
      <c r="C16" s="48">
        <v>45941</v>
      </c>
    </row>
    <row r="17" spans="1:3">
      <c r="A17" t="s">
        <v>44</v>
      </c>
      <c r="B17" s="42">
        <v>900000</v>
      </c>
      <c r="C17" s="48">
        <v>45942</v>
      </c>
    </row>
    <row r="18" spans="1:3">
      <c r="A18" t="s">
        <v>97</v>
      </c>
      <c r="B18" s="42">
        <v>100000</v>
      </c>
      <c r="C18" s="48">
        <v>45942</v>
      </c>
    </row>
    <row r="19" spans="1:3">
      <c r="A19" t="s">
        <v>97</v>
      </c>
      <c r="B19" s="42">
        <v>100000</v>
      </c>
      <c r="C19" s="48">
        <v>45944</v>
      </c>
    </row>
    <row r="20" spans="1:3">
      <c r="A20" t="s">
        <v>44</v>
      </c>
      <c r="B20" s="42">
        <v>200000</v>
      </c>
      <c r="C20" s="48">
        <v>45945</v>
      </c>
    </row>
    <row r="21" spans="1:3">
      <c r="A21" t="s">
        <v>44</v>
      </c>
      <c r="B21" s="42">
        <v>200000</v>
      </c>
      <c r="C21" s="48">
        <v>45946</v>
      </c>
    </row>
    <row r="22" spans="1:3">
      <c r="A22" t="s">
        <v>80</v>
      </c>
      <c r="B22" s="42">
        <v>200000</v>
      </c>
      <c r="C22" s="48">
        <v>45946</v>
      </c>
    </row>
    <row r="23" spans="1:3">
      <c r="A23" t="s">
        <v>80</v>
      </c>
      <c r="B23" s="42">
        <v>100000</v>
      </c>
      <c r="C23" s="48">
        <v>45948</v>
      </c>
    </row>
    <row r="24" spans="1:3">
      <c r="A24" t="s">
        <v>80</v>
      </c>
      <c r="B24" s="42">
        <v>1800000</v>
      </c>
      <c r="C24" s="48">
        <v>45948</v>
      </c>
    </row>
    <row r="25" spans="1:3">
      <c r="A25" t="s">
        <v>44</v>
      </c>
      <c r="B25" s="42">
        <v>300000</v>
      </c>
      <c r="C25" s="48">
        <v>45948</v>
      </c>
    </row>
    <row r="26" spans="1:3">
      <c r="A26" t="s">
        <v>44</v>
      </c>
      <c r="B26" s="42">
        <v>200000</v>
      </c>
      <c r="C26" s="48">
        <v>45949</v>
      </c>
    </row>
    <row r="27" spans="1:3">
      <c r="A27" t="s">
        <v>80</v>
      </c>
      <c r="B27" s="42">
        <v>250000</v>
      </c>
      <c r="C27" s="48">
        <v>45949</v>
      </c>
    </row>
    <row r="28" spans="1:3">
      <c r="A28" t="s">
        <v>44</v>
      </c>
      <c r="B28" s="42">
        <v>150000</v>
      </c>
      <c r="C28" s="48">
        <v>45950</v>
      </c>
    </row>
    <row r="29" spans="1:3">
      <c r="A29" t="s">
        <v>82</v>
      </c>
      <c r="B29" s="42">
        <v>900000</v>
      </c>
      <c r="C29" s="48">
        <v>45950</v>
      </c>
    </row>
    <row r="30" spans="1:3">
      <c r="A30" t="s">
        <v>82</v>
      </c>
      <c r="B30" s="42">
        <v>100000</v>
      </c>
      <c r="C30" s="48">
        <v>45950</v>
      </c>
    </row>
    <row r="31" spans="1:3">
      <c r="A31" t="s">
        <v>82</v>
      </c>
      <c r="B31" s="42">
        <v>500000</v>
      </c>
      <c r="C31" s="48">
        <v>45951</v>
      </c>
    </row>
    <row r="32" spans="1:3">
      <c r="A32" t="s">
        <v>44</v>
      </c>
      <c r="B32" s="42">
        <v>300000</v>
      </c>
      <c r="C32" s="48">
        <v>45951</v>
      </c>
    </row>
    <row r="33" spans="1:3">
      <c r="A33" t="s">
        <v>80</v>
      </c>
      <c r="B33" s="42">
        <v>300000</v>
      </c>
      <c r="C33" s="48">
        <v>45951</v>
      </c>
    </row>
    <row r="34" spans="1:3">
      <c r="A34" t="s">
        <v>97</v>
      </c>
      <c r="B34" s="42">
        <v>100000</v>
      </c>
      <c r="C34" s="48">
        <v>45951</v>
      </c>
    </row>
    <row r="35" spans="1:3">
      <c r="A35" t="s">
        <v>81</v>
      </c>
      <c r="B35" s="42">
        <v>900000</v>
      </c>
      <c r="C35" s="48">
        <v>45951</v>
      </c>
    </row>
    <row r="36" spans="1:3">
      <c r="A36" t="s">
        <v>44</v>
      </c>
      <c r="B36" s="42">
        <v>300000</v>
      </c>
      <c r="C36" s="48">
        <v>45952</v>
      </c>
    </row>
    <row r="37" spans="1:3">
      <c r="A37" t="s">
        <v>97</v>
      </c>
      <c r="B37" s="42">
        <v>100000</v>
      </c>
      <c r="C37" s="48">
        <v>45952</v>
      </c>
    </row>
    <row r="38" spans="1:3">
      <c r="A38" t="s">
        <v>82</v>
      </c>
      <c r="B38" s="42">
        <v>200000</v>
      </c>
      <c r="C38" s="48">
        <v>45953</v>
      </c>
    </row>
    <row r="39" spans="1:3">
      <c r="A39" t="s">
        <v>80</v>
      </c>
      <c r="B39" s="42">
        <v>200000</v>
      </c>
      <c r="C39" s="48">
        <v>45953</v>
      </c>
    </row>
    <row r="40" spans="1:3">
      <c r="A40" t="s">
        <v>44</v>
      </c>
      <c r="B40" s="42">
        <v>900000</v>
      </c>
      <c r="C40" s="48">
        <v>45954</v>
      </c>
    </row>
    <row r="41" spans="1:3">
      <c r="A41" t="s">
        <v>107</v>
      </c>
      <c r="B41" s="42">
        <v>140000</v>
      </c>
      <c r="C41" s="48">
        <v>45954</v>
      </c>
    </row>
    <row r="42" spans="1:3">
      <c r="A42" t="s">
        <v>97</v>
      </c>
      <c r="B42" s="42">
        <v>100000</v>
      </c>
      <c r="C42" s="48">
        <v>45955</v>
      </c>
    </row>
    <row r="43" spans="1:3">
      <c r="A43" t="s">
        <v>82</v>
      </c>
      <c r="B43" s="42">
        <v>100000</v>
      </c>
      <c r="C43" s="48">
        <v>45956</v>
      </c>
    </row>
    <row r="44" spans="1:3">
      <c r="A44" t="s">
        <v>80</v>
      </c>
      <c r="B44" s="42">
        <v>100000</v>
      </c>
      <c r="C44" s="48">
        <v>45956</v>
      </c>
    </row>
    <row r="45" spans="1:3">
      <c r="A45" t="s">
        <v>44</v>
      </c>
      <c r="B45" s="42">
        <v>500000</v>
      </c>
      <c r="C45" s="48">
        <v>45956</v>
      </c>
    </row>
    <row r="46" spans="1:3">
      <c r="A46" s="113" t="s">
        <v>44</v>
      </c>
      <c r="B46" s="42">
        <v>900000</v>
      </c>
      <c r="C46" s="48">
        <v>45958</v>
      </c>
    </row>
    <row r="47" spans="1:3">
      <c r="A47" t="s">
        <v>97</v>
      </c>
      <c r="B47" s="42">
        <v>100000</v>
      </c>
      <c r="C47" s="48">
        <v>45958</v>
      </c>
    </row>
    <row r="48" spans="1:3">
      <c r="A48" t="s">
        <v>80</v>
      </c>
      <c r="B48" s="42">
        <v>100000</v>
      </c>
      <c r="C48" s="48">
        <v>45958</v>
      </c>
    </row>
    <row r="49" spans="1:3">
      <c r="A49" t="s">
        <v>82</v>
      </c>
      <c r="B49" s="42">
        <v>100000</v>
      </c>
      <c r="C49" s="48">
        <v>45958</v>
      </c>
    </row>
    <row r="50" spans="1:3">
      <c r="A50" t="s">
        <v>97</v>
      </c>
      <c r="B50" s="42">
        <v>100000</v>
      </c>
      <c r="C50" s="48">
        <v>45959</v>
      </c>
    </row>
    <row r="51" spans="1:3">
      <c r="A51" t="s">
        <v>82</v>
      </c>
      <c r="B51" s="42">
        <v>200000</v>
      </c>
      <c r="C51" s="48">
        <v>45960</v>
      </c>
    </row>
    <row r="52" spans="1:3">
      <c r="A52" t="s">
        <v>44</v>
      </c>
      <c r="B52" s="42">
        <v>200000</v>
      </c>
      <c r="C52" s="48">
        <v>45960</v>
      </c>
    </row>
    <row r="53" spans="1:3">
      <c r="A53" t="s">
        <v>80</v>
      </c>
      <c r="B53" s="42">
        <v>100000</v>
      </c>
      <c r="C53" s="48">
        <v>45960</v>
      </c>
    </row>
    <row r="54" spans="1:3">
      <c r="A54" t="s">
        <v>97</v>
      </c>
      <c r="B54" s="42">
        <v>100000</v>
      </c>
      <c r="C54" s="48">
        <v>45961</v>
      </c>
    </row>
    <row r="55" spans="1:3">
      <c r="A55" t="s">
        <v>82</v>
      </c>
      <c r="B55" s="42">
        <v>100000</v>
      </c>
      <c r="C55" s="48">
        <v>45961</v>
      </c>
    </row>
    <row r="56" spans="1:3">
      <c r="A56" t="s">
        <v>44</v>
      </c>
      <c r="B56" s="42">
        <v>200000</v>
      </c>
      <c r="C56" s="48">
        <v>45961</v>
      </c>
    </row>
    <row r="57" spans="1:3">
      <c r="A57" t="s">
        <v>107</v>
      </c>
      <c r="B57" s="42">
        <v>4500000</v>
      </c>
      <c r="C57" s="48">
        <v>45961</v>
      </c>
    </row>
    <row r="58" spans="1:3">
      <c r="A58" t="s">
        <v>80</v>
      </c>
      <c r="B58" s="42">
        <v>13500000</v>
      </c>
      <c r="C58" s="48">
        <v>45961</v>
      </c>
    </row>
    <row r="59" spans="1:3">
      <c r="B59" s="42"/>
      <c r="C59" s="48"/>
    </row>
    <row r="60" spans="1:3">
      <c r="B60" s="42">
        <f>SUM(B2:B58)</f>
        <v>37050000</v>
      </c>
      <c r="C60" s="48"/>
    </row>
    <row r="61" spans="1:3">
      <c r="B61" s="42">
        <f>B60/90000</f>
        <v>411.66666666666669</v>
      </c>
      <c r="C61" s="48"/>
    </row>
    <row r="62" spans="1:3">
      <c r="B62" s="42"/>
      <c r="C62" s="48"/>
    </row>
    <row r="63" spans="1:3">
      <c r="B63" s="42"/>
      <c r="C63" s="48"/>
    </row>
    <row r="64" spans="1:3">
      <c r="B64" s="42"/>
      <c r="C64" s="48"/>
    </row>
    <row r="65" spans="2:3">
      <c r="B65" s="42"/>
      <c r="C65" s="48"/>
    </row>
    <row r="66" spans="2:3">
      <c r="B66" s="42"/>
      <c r="C66" s="48"/>
    </row>
    <row r="67" spans="2:3">
      <c r="B67" s="42"/>
      <c r="C67" s="48"/>
    </row>
    <row r="68" spans="2:3">
      <c r="B68" s="42"/>
      <c r="C68" s="48"/>
    </row>
    <row r="69" spans="2:3">
      <c r="B69" s="42"/>
      <c r="C69" s="48"/>
    </row>
    <row r="70" spans="2:3">
      <c r="B70" s="42"/>
      <c r="C70" s="48"/>
    </row>
    <row r="71" spans="2:3">
      <c r="B71" s="42"/>
      <c r="C71" s="48"/>
    </row>
    <row r="72" spans="2:3">
      <c r="B72" s="42"/>
      <c r="C72" s="48"/>
    </row>
    <row r="73" spans="2:3">
      <c r="B73" s="42"/>
      <c r="C73" s="48"/>
    </row>
    <row r="74" spans="2:3">
      <c r="B74" s="42"/>
      <c r="C74" s="48"/>
    </row>
    <row r="75" spans="2:3">
      <c r="B75" s="42"/>
      <c r="C75" s="48"/>
    </row>
    <row r="76" spans="2:3">
      <c r="B76" s="42"/>
      <c r="C76" s="48"/>
    </row>
    <row r="77" spans="2:3">
      <c r="B77" s="42"/>
      <c r="C77" s="48"/>
    </row>
    <row r="78" spans="2:3">
      <c r="B78" s="42"/>
      <c r="C78" s="48"/>
    </row>
    <row r="79" spans="2:3">
      <c r="B79" s="42"/>
    </row>
    <row r="80" spans="2:3">
      <c r="B80" s="42">
        <f>SUM(B2:B79)</f>
        <v>74100411.666666672</v>
      </c>
      <c r="C80">
        <f>B80/90000</f>
        <v>823.33790740740744</v>
      </c>
    </row>
    <row r="81" spans="2:2">
      <c r="B81" s="42"/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88" spans="2:2">
      <c r="B88" s="42"/>
    </row>
    <row r="89" spans="2:2">
      <c r="B89" s="42"/>
    </row>
    <row r="90" spans="2:2">
      <c r="B90" s="42"/>
    </row>
    <row r="91" spans="2:2">
      <c r="B91" s="42"/>
    </row>
    <row r="92" spans="2:2">
      <c r="B92" s="42"/>
    </row>
    <row r="93" spans="2:2">
      <c r="B93" s="42"/>
    </row>
    <row r="94" spans="2:2">
      <c r="B94" s="42"/>
    </row>
    <row r="95" spans="2:2">
      <c r="B95" s="42"/>
    </row>
    <row r="96" spans="2:2">
      <c r="B96" s="42"/>
    </row>
    <row r="97" spans="1:3">
      <c r="B97" s="42"/>
    </row>
    <row r="98" spans="1:3">
      <c r="B98" s="42"/>
    </row>
    <row r="99" spans="1:3">
      <c r="B99" s="42"/>
    </row>
    <row r="100" spans="1:3">
      <c r="B100" s="42"/>
    </row>
    <row r="101" spans="1:3">
      <c r="B101" s="42"/>
    </row>
    <row r="102" spans="1:3">
      <c r="B102" s="42">
        <f>SUM(B2:B101)</f>
        <v>148200823.33333334</v>
      </c>
      <c r="C102" s="93">
        <f>B102/90000</f>
        <v>1646.6758148148149</v>
      </c>
    </row>
    <row r="104" spans="1:3">
      <c r="A104" t="s">
        <v>58</v>
      </c>
      <c r="B104" s="48">
        <v>45720</v>
      </c>
    </row>
    <row r="105" spans="1:3">
      <c r="A105" t="s">
        <v>59</v>
      </c>
      <c r="B105" s="48">
        <v>45727</v>
      </c>
    </row>
    <row r="106" spans="1:3">
      <c r="A106" t="s">
        <v>65</v>
      </c>
      <c r="B106" s="48">
        <v>45729</v>
      </c>
    </row>
    <row r="107" spans="1:3">
      <c r="A107" t="s">
        <v>66</v>
      </c>
    </row>
    <row r="109" spans="1:3">
      <c r="B109">
        <f>10000/90</f>
        <v>111.11111111111111</v>
      </c>
    </row>
    <row r="110" spans="1:3">
      <c r="B110">
        <v>38</v>
      </c>
    </row>
    <row r="111" spans="1:3">
      <c r="B111">
        <f>2000000/90000</f>
        <v>22.222222222222221</v>
      </c>
    </row>
    <row r="112" spans="1:3">
      <c r="B112">
        <v>110</v>
      </c>
    </row>
    <row r="114" spans="2:3">
      <c r="B114">
        <f>SUM(B109:B112)</f>
        <v>281.33333333333337</v>
      </c>
    </row>
    <row r="115" spans="2:3">
      <c r="B115">
        <f>355-B114</f>
        <v>73.666666666666629</v>
      </c>
    </row>
    <row r="125" spans="2:3" ht="23.5">
      <c r="C125" s="46"/>
    </row>
  </sheetData>
  <autoFilter ref="A1:C75" xr:uid="{00000000-0009-0000-0000-000024000000}"/>
  <pageMargins left="0.7" right="0.7" top="0.75" bottom="0.75" header="0.3" footer="0.3"/>
  <pageSetup orientation="portrait" verticalDpi="0"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99"/>
  <sheetViews>
    <sheetView rightToLeft="1" topLeftCell="D1" workbookViewId="0">
      <selection activeCell="E5" sqref="E5"/>
    </sheetView>
  </sheetViews>
  <sheetFormatPr defaultRowHeight="14.5"/>
  <cols>
    <col min="4" max="4" width="18" customWidth="1"/>
    <col min="5" max="5" width="10.08984375" bestFit="1" customWidth="1"/>
    <col min="9" max="9" width="14.36328125" bestFit="1" customWidth="1"/>
  </cols>
  <sheetData>
    <row r="1" spans="1:5">
      <c r="D1" t="s">
        <v>67</v>
      </c>
      <c r="E1">
        <f>13*1.75*10</f>
        <v>227.5</v>
      </c>
    </row>
    <row r="2" spans="1:5">
      <c r="A2" t="s">
        <v>60</v>
      </c>
      <c r="D2" t="s">
        <v>68</v>
      </c>
      <c r="E2">
        <v>12</v>
      </c>
    </row>
    <row r="3" spans="1:5">
      <c r="D3" t="s">
        <v>69</v>
      </c>
      <c r="E3">
        <v>12</v>
      </c>
    </row>
    <row r="4" spans="1:5">
      <c r="D4" t="s">
        <v>89</v>
      </c>
      <c r="E4">
        <v>1500</v>
      </c>
    </row>
    <row r="5" spans="1:5">
      <c r="B5">
        <f>201+73+61</f>
        <v>335</v>
      </c>
      <c r="D5" t="s">
        <v>64</v>
      </c>
      <c r="E5">
        <v>71.5</v>
      </c>
    </row>
    <row r="6" spans="1:5">
      <c r="A6" t="s">
        <v>61</v>
      </c>
      <c r="B6">
        <v>12</v>
      </c>
      <c r="D6" t="s">
        <v>70</v>
      </c>
      <c r="E6">
        <v>80</v>
      </c>
    </row>
    <row r="7" spans="1:5">
      <c r="A7" t="s">
        <v>61</v>
      </c>
      <c r="B7">
        <v>12</v>
      </c>
      <c r="D7" t="s">
        <v>62</v>
      </c>
      <c r="E7">
        <v>39</v>
      </c>
    </row>
    <row r="8" spans="1:5">
      <c r="A8" t="s">
        <v>64</v>
      </c>
      <c r="B8">
        <v>72</v>
      </c>
      <c r="D8" t="s">
        <v>71</v>
      </c>
      <c r="E8">
        <v>570</v>
      </c>
    </row>
    <row r="9" spans="1:5">
      <c r="A9" t="s">
        <v>63</v>
      </c>
      <c r="B9">
        <v>80</v>
      </c>
      <c r="D9" t="s">
        <v>72</v>
      </c>
      <c r="E9">
        <f>201+73</f>
        <v>274</v>
      </c>
    </row>
    <row r="10" spans="1:5">
      <c r="A10" t="s">
        <v>62</v>
      </c>
      <c r="B10">
        <v>39</v>
      </c>
      <c r="D10" t="s">
        <v>64</v>
      </c>
      <c r="E10">
        <v>61</v>
      </c>
    </row>
    <row r="11" spans="1:5">
      <c r="D11" t="s">
        <v>42</v>
      </c>
      <c r="E11">
        <v>25</v>
      </c>
    </row>
    <row r="12" spans="1:5">
      <c r="D12" t="s">
        <v>73</v>
      </c>
      <c r="E12">
        <v>70</v>
      </c>
    </row>
    <row r="13" spans="1:5">
      <c r="D13" t="s">
        <v>75</v>
      </c>
      <c r="E13">
        <v>270</v>
      </c>
    </row>
    <row r="14" spans="1:5">
      <c r="D14" t="s">
        <v>83</v>
      </c>
      <c r="E14">
        <v>428</v>
      </c>
    </row>
    <row r="15" spans="1:5">
      <c r="D15" t="s">
        <v>84</v>
      </c>
      <c r="E15">
        <v>230</v>
      </c>
    </row>
    <row r="16" spans="1:5">
      <c r="D16" t="s">
        <v>84</v>
      </c>
      <c r="E16">
        <v>24</v>
      </c>
    </row>
    <row r="17" spans="4:5">
      <c r="D17" t="s">
        <v>85</v>
      </c>
      <c r="E17">
        <v>100</v>
      </c>
    </row>
    <row r="18" spans="4:5">
      <c r="D18" t="s">
        <v>85</v>
      </c>
      <c r="E18">
        <v>20</v>
      </c>
    </row>
    <row r="19" spans="4:5">
      <c r="D19" t="s">
        <v>33</v>
      </c>
      <c r="E19">
        <v>143</v>
      </c>
    </row>
    <row r="20" spans="4:5">
      <c r="D20" t="s">
        <v>86</v>
      </c>
      <c r="E20">
        <v>40</v>
      </c>
    </row>
    <row r="21" spans="4:5">
      <c r="D21" t="s">
        <v>76</v>
      </c>
      <c r="E21">
        <v>64</v>
      </c>
    </row>
    <row r="22" spans="4:5">
      <c r="D22" t="s">
        <v>87</v>
      </c>
      <c r="E22">
        <v>290</v>
      </c>
    </row>
    <row r="23" spans="4:5">
      <c r="D23" t="s">
        <v>88</v>
      </c>
      <c r="E23">
        <v>70</v>
      </c>
    </row>
    <row r="24" spans="4:5">
      <c r="D24" t="s">
        <v>90</v>
      </c>
      <c r="E24">
        <v>41</v>
      </c>
    </row>
    <row r="25" spans="4:5">
      <c r="D25" t="s">
        <v>91</v>
      </c>
      <c r="E25">
        <v>12</v>
      </c>
    </row>
    <row r="26" spans="4:5">
      <c r="D26" t="s">
        <v>93</v>
      </c>
      <c r="E26" s="97">
        <v>-4500</v>
      </c>
    </row>
    <row r="27" spans="4:5">
      <c r="D27" t="s">
        <v>100</v>
      </c>
      <c r="E27">
        <v>1665</v>
      </c>
    </row>
    <row r="28" spans="4:5">
      <c r="D28" t="s">
        <v>101</v>
      </c>
      <c r="E28">
        <v>66</v>
      </c>
    </row>
    <row r="29" spans="4:5">
      <c r="D29" t="s">
        <v>102</v>
      </c>
      <c r="E29">
        <v>250</v>
      </c>
    </row>
    <row r="30" spans="4:5">
      <c r="D30" t="s">
        <v>86</v>
      </c>
      <c r="E30">
        <v>245</v>
      </c>
    </row>
    <row r="31" spans="4:5">
      <c r="D31" t="s">
        <v>103</v>
      </c>
      <c r="E31">
        <v>24</v>
      </c>
    </row>
    <row r="32" spans="4:5">
      <c r="D32" t="s">
        <v>76</v>
      </c>
      <c r="E32">
        <v>225</v>
      </c>
    </row>
    <row r="33" spans="4:6">
      <c r="D33" t="s">
        <v>104</v>
      </c>
      <c r="E33">
        <v>176</v>
      </c>
    </row>
    <row r="34" spans="4:6">
      <c r="D34" t="s">
        <v>106</v>
      </c>
      <c r="E34">
        <v>90</v>
      </c>
    </row>
    <row r="35" spans="4:6">
      <c r="D35" t="s">
        <v>93</v>
      </c>
      <c r="E35" s="97">
        <v>-2915</v>
      </c>
    </row>
    <row r="38" spans="4:6" ht="15.5">
      <c r="D38" s="95" t="s">
        <v>74</v>
      </c>
      <c r="E38" s="95">
        <f>SUM(E1:E35)</f>
        <v>0</v>
      </c>
    </row>
    <row r="41" spans="4:6">
      <c r="E41" s="42"/>
      <c r="F41" s="42"/>
    </row>
    <row r="42" spans="4:6">
      <c r="E42" s="42"/>
      <c r="F42" s="42"/>
    </row>
    <row r="43" spans="4:6">
      <c r="E43" s="42"/>
      <c r="F43" s="42"/>
    </row>
    <row r="44" spans="4:6">
      <c r="E44" s="42"/>
      <c r="F44" s="42"/>
    </row>
    <row r="45" spans="4:6">
      <c r="E45" s="42"/>
      <c r="F45" s="42"/>
    </row>
    <row r="46" spans="4:6">
      <c r="E46" s="42"/>
      <c r="F46" s="42"/>
    </row>
    <row r="47" spans="4:6">
      <c r="E47" s="42"/>
      <c r="F47" s="42"/>
    </row>
    <row r="48" spans="4:6">
      <c r="E48" s="42"/>
      <c r="F48" s="42"/>
    </row>
    <row r="49" spans="5:6">
      <c r="E49" s="42"/>
      <c r="F49" s="42"/>
    </row>
    <row r="50" spans="5:6">
      <c r="E50" s="42"/>
      <c r="F50" s="42"/>
    </row>
    <row r="51" spans="5:6">
      <c r="E51" s="42"/>
      <c r="F51" s="42"/>
    </row>
    <row r="52" spans="5:6">
      <c r="E52" s="42"/>
      <c r="F52" s="42"/>
    </row>
    <row r="53" spans="5:6">
      <c r="E53" s="42"/>
      <c r="F53" s="42"/>
    </row>
    <row r="54" spans="5:6">
      <c r="E54" s="42"/>
      <c r="F54" s="42"/>
    </row>
    <row r="55" spans="5:6">
      <c r="E55" s="42"/>
      <c r="F55" s="42"/>
    </row>
    <row r="56" spans="5:6">
      <c r="E56" s="42"/>
      <c r="F56" s="42"/>
    </row>
    <row r="57" spans="5:6">
      <c r="E57" s="42"/>
      <c r="F57" s="42"/>
    </row>
    <row r="58" spans="5:6">
      <c r="E58" s="42"/>
      <c r="F58" s="42"/>
    </row>
    <row r="59" spans="5:6">
      <c r="E59" s="42"/>
      <c r="F59" s="42"/>
    </row>
    <row r="60" spans="5:6">
      <c r="E60" s="42"/>
      <c r="F60" s="42"/>
    </row>
    <row r="61" spans="5:6">
      <c r="E61" s="42"/>
      <c r="F61" s="42"/>
    </row>
    <row r="62" spans="5:6">
      <c r="E62" s="42"/>
      <c r="F62" s="42"/>
    </row>
    <row r="63" spans="5:6">
      <c r="E63" s="42"/>
      <c r="F63" s="42"/>
    </row>
    <row r="64" spans="5:6">
      <c r="E64" s="42"/>
      <c r="F64" s="42"/>
    </row>
    <row r="65" spans="5:6">
      <c r="E65" s="42"/>
      <c r="F65" s="42"/>
    </row>
    <row r="66" spans="5:6">
      <c r="E66" s="42"/>
      <c r="F66" s="42"/>
    </row>
    <row r="67" spans="5:6">
      <c r="E67" s="42"/>
      <c r="F67" s="42"/>
    </row>
    <row r="68" spans="5:6">
      <c r="E68" s="42"/>
      <c r="F68" s="42"/>
    </row>
    <row r="69" spans="5:6">
      <c r="E69" s="42"/>
      <c r="F69" s="42"/>
    </row>
    <row r="70" spans="5:6">
      <c r="E70" s="42"/>
      <c r="F70" s="42"/>
    </row>
    <row r="71" spans="5:6">
      <c r="E71" s="42"/>
      <c r="F71" s="42"/>
    </row>
    <row r="72" spans="5:6">
      <c r="E72" s="42"/>
      <c r="F72" s="42"/>
    </row>
    <row r="73" spans="5:6">
      <c r="E73" s="42"/>
      <c r="F73" s="42"/>
    </row>
    <row r="74" spans="5:6">
      <c r="E74" s="42"/>
      <c r="F74" s="42"/>
    </row>
    <row r="75" spans="5:6">
      <c r="E75" s="42"/>
      <c r="F75" s="42"/>
    </row>
    <row r="76" spans="5:6">
      <c r="E76" s="42"/>
      <c r="F76" s="42"/>
    </row>
    <row r="77" spans="5:6">
      <c r="E77" s="42"/>
      <c r="F77" s="42"/>
    </row>
    <row r="78" spans="5:6">
      <c r="E78" s="42"/>
      <c r="F78" s="42"/>
    </row>
    <row r="79" spans="5:6">
      <c r="E79" s="42"/>
      <c r="F79" s="42"/>
    </row>
    <row r="80" spans="5:6">
      <c r="E80" s="42"/>
      <c r="F80" s="42"/>
    </row>
    <row r="81" spans="5:6">
      <c r="E81" s="42"/>
      <c r="F81" s="42"/>
    </row>
    <row r="82" spans="5:6">
      <c r="E82" s="42"/>
      <c r="F82" s="42"/>
    </row>
    <row r="83" spans="5:6">
      <c r="E83" s="42"/>
      <c r="F83" s="42"/>
    </row>
    <row r="84" spans="5:6">
      <c r="E84" s="42"/>
      <c r="F84" s="42"/>
    </row>
    <row r="85" spans="5:6">
      <c r="E85" s="42"/>
      <c r="F85" s="42"/>
    </row>
    <row r="86" spans="5:6">
      <c r="E86" s="42"/>
      <c r="F86" s="42"/>
    </row>
    <row r="87" spans="5:6">
      <c r="E87" s="42"/>
      <c r="F87" s="42"/>
    </row>
    <row r="88" spans="5:6">
      <c r="E88" s="42"/>
      <c r="F88" s="42"/>
    </row>
    <row r="89" spans="5:6">
      <c r="E89" s="42"/>
      <c r="F89" s="42"/>
    </row>
    <row r="90" spans="5:6">
      <c r="E90" s="42"/>
      <c r="F90" s="42"/>
    </row>
    <row r="91" spans="5:6">
      <c r="E91" s="42"/>
      <c r="F91" s="42"/>
    </row>
    <row r="92" spans="5:6">
      <c r="E92" s="42"/>
      <c r="F92" s="42"/>
    </row>
    <row r="93" spans="5:6">
      <c r="E93" s="42"/>
      <c r="F93" s="42"/>
    </row>
    <row r="94" spans="5:6">
      <c r="E94" s="42"/>
      <c r="F94" s="42"/>
    </row>
    <row r="95" spans="5:6">
      <c r="E95" s="42"/>
      <c r="F95" s="42"/>
    </row>
    <row r="96" spans="5:6">
      <c r="E96" s="42"/>
      <c r="F96" s="42"/>
    </row>
    <row r="97" spans="5:6">
      <c r="E97" s="42"/>
      <c r="F97" s="42"/>
    </row>
    <row r="98" spans="5:6">
      <c r="E98" s="42"/>
      <c r="F98" s="42"/>
    </row>
    <row r="99" spans="5:6">
      <c r="E99" s="42"/>
      <c r="F99" s="42"/>
    </row>
    <row r="100" spans="5:6">
      <c r="E100" s="42"/>
      <c r="F100" s="42"/>
    </row>
    <row r="101" spans="5:6">
      <c r="E101" s="42"/>
      <c r="F101" s="42"/>
    </row>
    <row r="102" spans="5:6">
      <c r="E102" s="42"/>
      <c r="F102" s="42"/>
    </row>
    <row r="103" spans="5:6">
      <c r="E103" s="42"/>
      <c r="F103" s="42"/>
    </row>
    <row r="104" spans="5:6">
      <c r="E104" s="42"/>
      <c r="F104" s="42"/>
    </row>
    <row r="105" spans="5:6">
      <c r="E105" s="42"/>
      <c r="F105" s="42"/>
    </row>
    <row r="106" spans="5:6">
      <c r="E106" s="42"/>
      <c r="F106" s="42"/>
    </row>
    <row r="107" spans="5:6">
      <c r="E107" s="42"/>
      <c r="F107" s="42"/>
    </row>
    <row r="108" spans="5:6">
      <c r="E108" s="42"/>
      <c r="F108" s="42"/>
    </row>
    <row r="109" spans="5:6">
      <c r="E109" s="42"/>
      <c r="F109" s="42"/>
    </row>
    <row r="110" spans="5:6">
      <c r="E110" s="42"/>
      <c r="F110" s="42"/>
    </row>
    <row r="111" spans="5:6">
      <c r="E111" s="42"/>
      <c r="F111" s="42"/>
    </row>
    <row r="112" spans="5:6">
      <c r="E112" s="42"/>
      <c r="F112" s="42"/>
    </row>
    <row r="113" spans="5:6">
      <c r="E113" s="42"/>
      <c r="F113" s="42"/>
    </row>
    <row r="114" spans="5:6">
      <c r="E114" s="42"/>
      <c r="F114" s="42"/>
    </row>
    <row r="115" spans="5:6">
      <c r="E115" s="42"/>
      <c r="F115" s="42"/>
    </row>
    <row r="116" spans="5:6">
      <c r="E116" s="42"/>
      <c r="F116" s="42"/>
    </row>
    <row r="117" spans="5:6">
      <c r="E117" s="42"/>
      <c r="F117" s="42"/>
    </row>
    <row r="118" spans="5:6">
      <c r="E118" s="42"/>
      <c r="F118" s="42"/>
    </row>
    <row r="119" spans="5:6">
      <c r="E119" s="42"/>
      <c r="F119" s="42"/>
    </row>
    <row r="120" spans="5:6">
      <c r="E120" s="42"/>
      <c r="F120" s="42"/>
    </row>
    <row r="121" spans="5:6">
      <c r="E121" s="42"/>
      <c r="F121" s="42"/>
    </row>
    <row r="122" spans="5:6">
      <c r="E122" s="42"/>
      <c r="F122" s="42"/>
    </row>
    <row r="123" spans="5:6">
      <c r="E123" s="42"/>
      <c r="F123" s="42"/>
    </row>
    <row r="124" spans="5:6">
      <c r="E124" s="42"/>
      <c r="F124" s="42"/>
    </row>
    <row r="125" spans="5:6">
      <c r="E125" s="42"/>
      <c r="F125" s="42"/>
    </row>
    <row r="126" spans="5:6">
      <c r="E126" s="42"/>
      <c r="F126" s="42"/>
    </row>
    <row r="127" spans="5:6">
      <c r="E127" s="42"/>
      <c r="F127" s="42"/>
    </row>
    <row r="128" spans="5:6">
      <c r="E128" s="42"/>
      <c r="F128" s="42"/>
    </row>
    <row r="129" spans="5:6">
      <c r="E129" s="42"/>
      <c r="F129" s="42"/>
    </row>
    <row r="130" spans="5:6">
      <c r="E130" s="42"/>
      <c r="F130" s="42"/>
    </row>
    <row r="131" spans="5:6">
      <c r="E131" s="42"/>
      <c r="F131" s="42"/>
    </row>
    <row r="132" spans="5:6">
      <c r="E132" s="42"/>
      <c r="F132" s="42"/>
    </row>
    <row r="133" spans="5:6">
      <c r="E133" s="42"/>
      <c r="F133" s="42"/>
    </row>
    <row r="134" spans="5:6">
      <c r="E134" s="42"/>
      <c r="F134" s="42"/>
    </row>
    <row r="135" spans="5:6">
      <c r="E135" s="42"/>
      <c r="F135" s="42"/>
    </row>
    <row r="136" spans="5:6">
      <c r="E136" s="42"/>
      <c r="F136" s="42"/>
    </row>
    <row r="137" spans="5:6">
      <c r="E137" s="42"/>
      <c r="F137" s="42"/>
    </row>
    <row r="138" spans="5:6">
      <c r="E138" s="42"/>
      <c r="F138" s="42"/>
    </row>
    <row r="139" spans="5:6">
      <c r="E139" s="42"/>
      <c r="F139" s="42"/>
    </row>
    <row r="140" spans="5:6">
      <c r="E140" s="42"/>
      <c r="F140" s="42"/>
    </row>
    <row r="141" spans="5:6">
      <c r="E141" s="42"/>
      <c r="F141" s="42"/>
    </row>
    <row r="142" spans="5:6">
      <c r="E142" s="42"/>
      <c r="F142" s="42"/>
    </row>
    <row r="143" spans="5:6">
      <c r="E143" s="42"/>
      <c r="F143" s="42"/>
    </row>
    <row r="144" spans="5:6">
      <c r="E144" s="42"/>
      <c r="F144" s="42"/>
    </row>
    <row r="145" spans="5:6">
      <c r="E145" s="42"/>
      <c r="F145" s="42"/>
    </row>
    <row r="146" spans="5:6">
      <c r="E146" s="42"/>
      <c r="F146" s="42"/>
    </row>
    <row r="147" spans="5:6">
      <c r="E147" s="42"/>
      <c r="F147" s="42"/>
    </row>
    <row r="148" spans="5:6">
      <c r="E148" s="42"/>
      <c r="F148" s="42"/>
    </row>
    <row r="149" spans="5:6">
      <c r="E149" s="42"/>
      <c r="F149" s="42"/>
    </row>
    <row r="150" spans="5:6">
      <c r="E150" s="42"/>
      <c r="F150" s="42"/>
    </row>
    <row r="151" spans="5:6">
      <c r="E151" s="42"/>
      <c r="F151" s="42"/>
    </row>
    <row r="152" spans="5:6">
      <c r="E152" s="42"/>
      <c r="F152" s="42"/>
    </row>
    <row r="153" spans="5:6">
      <c r="E153" s="42"/>
      <c r="F153" s="42"/>
    </row>
    <row r="154" spans="5:6">
      <c r="E154" s="42"/>
      <c r="F154" s="42"/>
    </row>
    <row r="155" spans="5:6">
      <c r="E155" s="42"/>
      <c r="F155" s="42"/>
    </row>
    <row r="156" spans="5:6">
      <c r="E156" s="42"/>
      <c r="F156" s="42"/>
    </row>
    <row r="157" spans="5:6">
      <c r="E157" s="42"/>
      <c r="F157" s="42"/>
    </row>
    <row r="158" spans="5:6">
      <c r="E158" s="42"/>
      <c r="F158" s="42"/>
    </row>
    <row r="159" spans="5:6">
      <c r="E159" s="42"/>
      <c r="F159" s="42"/>
    </row>
    <row r="160" spans="5:6">
      <c r="E160" s="42"/>
      <c r="F160" s="42"/>
    </row>
    <row r="161" spans="5:6">
      <c r="E161" s="42"/>
      <c r="F161" s="42"/>
    </row>
    <row r="162" spans="5:6">
      <c r="E162" s="42"/>
      <c r="F162" s="42"/>
    </row>
    <row r="163" spans="5:6">
      <c r="E163" s="42"/>
      <c r="F163" s="42"/>
    </row>
    <row r="164" spans="5:6">
      <c r="E164" s="42"/>
      <c r="F164" s="42"/>
    </row>
    <row r="165" spans="5:6">
      <c r="E165" s="42"/>
      <c r="F165" s="42"/>
    </row>
    <row r="166" spans="5:6">
      <c r="E166" s="42"/>
      <c r="F166" s="42"/>
    </row>
    <row r="167" spans="5:6">
      <c r="E167" s="42"/>
      <c r="F167" s="42"/>
    </row>
    <row r="168" spans="5:6">
      <c r="E168" s="42"/>
      <c r="F168" s="42"/>
    </row>
    <row r="169" spans="5:6">
      <c r="E169" s="42"/>
      <c r="F169" s="42"/>
    </row>
    <row r="170" spans="5:6">
      <c r="E170" s="42"/>
      <c r="F170" s="42"/>
    </row>
    <row r="171" spans="5:6">
      <c r="E171" s="42"/>
      <c r="F171" s="42"/>
    </row>
    <row r="172" spans="5:6">
      <c r="E172" s="42"/>
      <c r="F172" s="42"/>
    </row>
    <row r="173" spans="5:6">
      <c r="E173" s="42"/>
      <c r="F173" s="42"/>
    </row>
    <row r="174" spans="5:6">
      <c r="E174" s="42"/>
      <c r="F174" s="42"/>
    </row>
    <row r="175" spans="5:6">
      <c r="E175" s="42"/>
      <c r="F175" s="42"/>
    </row>
    <row r="176" spans="5:6">
      <c r="E176" s="42"/>
      <c r="F176" s="42"/>
    </row>
    <row r="177" spans="5:6">
      <c r="E177" s="42"/>
      <c r="F177" s="42"/>
    </row>
    <row r="178" spans="5:6">
      <c r="E178" s="42"/>
      <c r="F178" s="42"/>
    </row>
    <row r="179" spans="5:6">
      <c r="E179" s="42"/>
      <c r="F179" s="42"/>
    </row>
    <row r="180" spans="5:6">
      <c r="E180" s="42"/>
      <c r="F180" s="42"/>
    </row>
    <row r="181" spans="5:6">
      <c r="E181" s="42"/>
      <c r="F181" s="42"/>
    </row>
    <row r="182" spans="5:6">
      <c r="E182" s="42"/>
      <c r="F182" s="42"/>
    </row>
    <row r="183" spans="5:6">
      <c r="E183" s="42"/>
      <c r="F183" s="42"/>
    </row>
    <row r="184" spans="5:6">
      <c r="E184" s="42"/>
      <c r="F184" s="42"/>
    </row>
    <row r="185" spans="5:6">
      <c r="E185" s="42"/>
      <c r="F185" s="42"/>
    </row>
    <row r="186" spans="5:6">
      <c r="E186" s="42"/>
      <c r="F186" s="42"/>
    </row>
    <row r="187" spans="5:6">
      <c r="E187" s="42"/>
      <c r="F187" s="42"/>
    </row>
    <row r="188" spans="5:6">
      <c r="E188" s="42"/>
      <c r="F188" s="42"/>
    </row>
    <row r="189" spans="5:6">
      <c r="E189" s="42"/>
      <c r="F189" s="42"/>
    </row>
    <row r="190" spans="5:6">
      <c r="E190" s="42"/>
      <c r="F190" s="42"/>
    </row>
    <row r="191" spans="5:6">
      <c r="E191" s="42"/>
      <c r="F191" s="42"/>
    </row>
    <row r="192" spans="5:6">
      <c r="E192" s="42"/>
      <c r="F192" s="42"/>
    </row>
    <row r="193" spans="5:6">
      <c r="E193" s="42"/>
      <c r="F193" s="42"/>
    </row>
    <row r="194" spans="5:6">
      <c r="E194" s="42"/>
      <c r="F194" s="42"/>
    </row>
    <row r="195" spans="5:6">
      <c r="E195" s="42"/>
      <c r="F195" s="42"/>
    </row>
    <row r="196" spans="5:6">
      <c r="E196" s="42"/>
      <c r="F196" s="42"/>
    </row>
    <row r="197" spans="5:6">
      <c r="E197" s="42"/>
      <c r="F197" s="42"/>
    </row>
    <row r="198" spans="5:6">
      <c r="E198" s="42"/>
      <c r="F198" s="42"/>
    </row>
    <row r="199" spans="5:6">
      <c r="E199" s="42"/>
      <c r="F199" s="42"/>
    </row>
    <row r="200" spans="5:6">
      <c r="E200" s="42"/>
      <c r="F200" s="42"/>
    </row>
    <row r="201" spans="5:6">
      <c r="E201" s="42"/>
      <c r="F201" s="42"/>
    </row>
    <row r="202" spans="5:6">
      <c r="E202" s="42"/>
      <c r="F202" s="42"/>
    </row>
    <row r="203" spans="5:6">
      <c r="E203" s="42"/>
      <c r="F203" s="42"/>
    </row>
    <row r="204" spans="5:6">
      <c r="E204" s="42"/>
      <c r="F204" s="42"/>
    </row>
    <row r="205" spans="5:6">
      <c r="E205" s="42"/>
      <c r="F205" s="42"/>
    </row>
    <row r="206" spans="5:6">
      <c r="E206" s="42"/>
      <c r="F206" s="42"/>
    </row>
    <row r="207" spans="5:6">
      <c r="E207" s="42"/>
      <c r="F207" s="42"/>
    </row>
    <row r="208" spans="5:6">
      <c r="E208" s="42"/>
      <c r="F208" s="42"/>
    </row>
    <row r="209" spans="5:6">
      <c r="E209" s="42"/>
      <c r="F209" s="42"/>
    </row>
    <row r="210" spans="5:6">
      <c r="E210" s="42"/>
      <c r="F210" s="42"/>
    </row>
    <row r="211" spans="5:6">
      <c r="E211" s="42"/>
      <c r="F211" s="42"/>
    </row>
    <row r="212" spans="5:6">
      <c r="E212" s="42"/>
      <c r="F212" s="42"/>
    </row>
    <row r="213" spans="5:6">
      <c r="E213" s="42"/>
      <c r="F213" s="42"/>
    </row>
    <row r="214" spans="5:6">
      <c r="E214" s="42"/>
      <c r="F214" s="42"/>
    </row>
    <row r="215" spans="5:6">
      <c r="E215" s="42"/>
      <c r="F215" s="42"/>
    </row>
    <row r="216" spans="5:6">
      <c r="E216" s="42"/>
      <c r="F216" s="42"/>
    </row>
    <row r="217" spans="5:6">
      <c r="E217" s="42"/>
      <c r="F217" s="42"/>
    </row>
    <row r="218" spans="5:6">
      <c r="E218" s="42"/>
      <c r="F218" s="42"/>
    </row>
    <row r="219" spans="5:6">
      <c r="E219" s="42"/>
      <c r="F219" s="42"/>
    </row>
    <row r="220" spans="5:6">
      <c r="E220" s="42"/>
      <c r="F220" s="42"/>
    </row>
    <row r="221" spans="5:6">
      <c r="E221" s="42"/>
      <c r="F221" s="42"/>
    </row>
    <row r="222" spans="5:6">
      <c r="E222" s="42"/>
      <c r="F222" s="42"/>
    </row>
    <row r="223" spans="5:6">
      <c r="E223" s="42"/>
      <c r="F223" s="42"/>
    </row>
    <row r="224" spans="5:6">
      <c r="E224" s="42"/>
      <c r="F224" s="42"/>
    </row>
    <row r="225" spans="5:6">
      <c r="E225" s="42"/>
      <c r="F225" s="42"/>
    </row>
    <row r="226" spans="5:6">
      <c r="E226" s="42"/>
      <c r="F226" s="42"/>
    </row>
    <row r="227" spans="5:6">
      <c r="E227" s="42"/>
      <c r="F227" s="42"/>
    </row>
    <row r="228" spans="5:6">
      <c r="E228" s="42"/>
      <c r="F228" s="42"/>
    </row>
    <row r="229" spans="5:6">
      <c r="E229" s="42"/>
      <c r="F229" s="42"/>
    </row>
    <row r="230" spans="5:6">
      <c r="E230" s="42"/>
      <c r="F230" s="42"/>
    </row>
    <row r="231" spans="5:6">
      <c r="E231" s="42"/>
      <c r="F231" s="42"/>
    </row>
    <row r="232" spans="5:6">
      <c r="E232" s="42"/>
      <c r="F232" s="42"/>
    </row>
    <row r="233" spans="5:6">
      <c r="E233" s="42"/>
      <c r="F233" s="42"/>
    </row>
    <row r="234" spans="5:6">
      <c r="E234" s="42"/>
      <c r="F234" s="42"/>
    </row>
    <row r="235" spans="5:6">
      <c r="E235" s="42"/>
      <c r="F235" s="42"/>
    </row>
    <row r="236" spans="5:6">
      <c r="E236" s="42"/>
      <c r="F236" s="42"/>
    </row>
    <row r="237" spans="5:6">
      <c r="E237" s="42"/>
      <c r="F237" s="42"/>
    </row>
    <row r="238" spans="5:6">
      <c r="E238" s="42"/>
      <c r="F238" s="42"/>
    </row>
    <row r="239" spans="5:6">
      <c r="E239" s="42"/>
      <c r="F239" s="42"/>
    </row>
    <row r="240" spans="5:6">
      <c r="E240" s="42"/>
      <c r="F240" s="42"/>
    </row>
    <row r="241" spans="5:6">
      <c r="E241" s="42"/>
      <c r="F241" s="42"/>
    </row>
    <row r="242" spans="5:6">
      <c r="E242" s="42"/>
      <c r="F242" s="42"/>
    </row>
    <row r="243" spans="5:6">
      <c r="E243" s="42"/>
      <c r="F243" s="42"/>
    </row>
    <row r="244" spans="5:6">
      <c r="E244" s="42"/>
      <c r="F244" s="42"/>
    </row>
    <row r="245" spans="5:6">
      <c r="E245" s="42"/>
      <c r="F245" s="42"/>
    </row>
    <row r="246" spans="5:6">
      <c r="E246" s="42"/>
      <c r="F246" s="42"/>
    </row>
    <row r="247" spans="5:6">
      <c r="E247" s="42"/>
      <c r="F247" s="42"/>
    </row>
    <row r="248" spans="5:6">
      <c r="E248" s="42"/>
      <c r="F248" s="42"/>
    </row>
    <row r="249" spans="5:6">
      <c r="E249" s="42"/>
      <c r="F249" s="42"/>
    </row>
    <row r="250" spans="5:6">
      <c r="E250" s="42"/>
      <c r="F250" s="42"/>
    </row>
    <row r="251" spans="5:6">
      <c r="E251" s="42"/>
      <c r="F251" s="42"/>
    </row>
    <row r="252" spans="5:6">
      <c r="E252" s="42"/>
      <c r="F252" s="42"/>
    </row>
    <row r="253" spans="5:6">
      <c r="E253" s="42"/>
      <c r="F253" s="42"/>
    </row>
    <row r="254" spans="5:6">
      <c r="E254" s="42"/>
      <c r="F254" s="42"/>
    </row>
    <row r="255" spans="5:6">
      <c r="E255" s="42"/>
      <c r="F255" s="42"/>
    </row>
    <row r="256" spans="5:6">
      <c r="E256" s="42"/>
      <c r="F256" s="42"/>
    </row>
    <row r="257" spans="5:6">
      <c r="E257" s="42"/>
      <c r="F257" s="42"/>
    </row>
    <row r="258" spans="5:6">
      <c r="E258" s="42"/>
      <c r="F258" s="42"/>
    </row>
    <row r="259" spans="5:6">
      <c r="E259" s="42"/>
      <c r="F259" s="42"/>
    </row>
    <row r="260" spans="5:6">
      <c r="E260" s="42"/>
      <c r="F260" s="42"/>
    </row>
    <row r="261" spans="5:6">
      <c r="E261" s="42"/>
      <c r="F261" s="42"/>
    </row>
    <row r="262" spans="5:6">
      <c r="E262" s="42"/>
      <c r="F262" s="42"/>
    </row>
    <row r="263" spans="5:6">
      <c r="E263" s="42"/>
      <c r="F263" s="42"/>
    </row>
    <row r="264" spans="5:6">
      <c r="E264" s="42"/>
      <c r="F264" s="42"/>
    </row>
    <row r="265" spans="5:6">
      <c r="E265" s="42"/>
      <c r="F265" s="42"/>
    </row>
    <row r="266" spans="5:6">
      <c r="E266" s="42"/>
      <c r="F266" s="42"/>
    </row>
    <row r="267" spans="5:6">
      <c r="E267" s="42"/>
      <c r="F267" s="42"/>
    </row>
    <row r="268" spans="5:6">
      <c r="E268" s="42"/>
      <c r="F268" s="42"/>
    </row>
    <row r="269" spans="5:6">
      <c r="E269" s="42"/>
      <c r="F269" s="42"/>
    </row>
    <row r="270" spans="5:6">
      <c r="E270" s="42"/>
      <c r="F270" s="42"/>
    </row>
    <row r="271" spans="5:6">
      <c r="E271" s="42"/>
      <c r="F271" s="42"/>
    </row>
    <row r="272" spans="5:6">
      <c r="E272" s="42"/>
      <c r="F272" s="42"/>
    </row>
    <row r="273" spans="5:6">
      <c r="E273" s="42"/>
      <c r="F273" s="42"/>
    </row>
    <row r="274" spans="5:6">
      <c r="E274" s="42"/>
      <c r="F274" s="42"/>
    </row>
    <row r="275" spans="5:6">
      <c r="E275" s="42"/>
      <c r="F275" s="42"/>
    </row>
    <row r="276" spans="5:6">
      <c r="E276" s="42"/>
      <c r="F276" s="42"/>
    </row>
    <row r="277" spans="5:6">
      <c r="E277" s="42"/>
      <c r="F277" s="42"/>
    </row>
    <row r="278" spans="5:6">
      <c r="E278" s="42"/>
      <c r="F278" s="42"/>
    </row>
    <row r="279" spans="5:6">
      <c r="E279" s="42"/>
      <c r="F279" s="42"/>
    </row>
    <row r="280" spans="5:6">
      <c r="E280" s="42"/>
      <c r="F280" s="42"/>
    </row>
    <row r="281" spans="5:6">
      <c r="E281" s="42"/>
      <c r="F281" s="42"/>
    </row>
    <row r="282" spans="5:6">
      <c r="E282" s="42"/>
      <c r="F282" s="42"/>
    </row>
    <row r="283" spans="5:6">
      <c r="E283" s="42"/>
      <c r="F283" s="42"/>
    </row>
    <row r="284" spans="5:6">
      <c r="E284" s="42"/>
      <c r="F284" s="42"/>
    </row>
    <row r="285" spans="5:6">
      <c r="E285" s="42"/>
      <c r="F285" s="42"/>
    </row>
    <row r="286" spans="5:6">
      <c r="E286" s="42"/>
      <c r="F286" s="42"/>
    </row>
    <row r="287" spans="5:6">
      <c r="E287" s="42"/>
      <c r="F287" s="42"/>
    </row>
    <row r="288" spans="5:6">
      <c r="E288" s="42"/>
      <c r="F288" s="42"/>
    </row>
    <row r="289" spans="5:6">
      <c r="E289" s="42"/>
      <c r="F289" s="42"/>
    </row>
    <row r="290" spans="5:6">
      <c r="E290" s="42"/>
      <c r="F290" s="42"/>
    </row>
    <row r="291" spans="5:6">
      <c r="E291" s="42"/>
      <c r="F291" s="42"/>
    </row>
    <row r="292" spans="5:6">
      <c r="E292" s="42"/>
      <c r="F292" s="42"/>
    </row>
    <row r="293" spans="5:6">
      <c r="E293" s="42"/>
      <c r="F293" s="42"/>
    </row>
    <row r="294" spans="5:6">
      <c r="E294" s="42"/>
      <c r="F294" s="42"/>
    </row>
    <row r="295" spans="5:6">
      <c r="E295" s="42"/>
      <c r="F295" s="42"/>
    </row>
    <row r="296" spans="5:6">
      <c r="E296" s="42"/>
      <c r="F296" s="42"/>
    </row>
    <row r="297" spans="5:6">
      <c r="E297" s="42"/>
      <c r="F297" s="42"/>
    </row>
    <row r="298" spans="5:6">
      <c r="E298" s="42"/>
      <c r="F298" s="42"/>
    </row>
    <row r="299" spans="5:6">
      <c r="E299" s="42"/>
      <c r="F299" s="42"/>
    </row>
  </sheetData>
  <pageMargins left="0.7" right="0.7" top="0.75" bottom="0.75" header="0.3" footer="0.3"/>
  <pageSetup paperSize="9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C12"/>
  <sheetViews>
    <sheetView rightToLeft="1" workbookViewId="0">
      <selection activeCell="D18" sqref="D18"/>
    </sheetView>
  </sheetViews>
  <sheetFormatPr defaultRowHeight="18.5"/>
  <cols>
    <col min="1" max="3" width="8.90625" style="116"/>
  </cols>
  <sheetData>
    <row r="2" spans="1:3">
      <c r="A2" s="115" t="s">
        <v>98</v>
      </c>
      <c r="C2" s="115" t="s">
        <v>99</v>
      </c>
    </row>
    <row r="3" spans="1:3">
      <c r="A3" s="115">
        <v>100</v>
      </c>
      <c r="C3" s="115">
        <v>300</v>
      </c>
    </row>
    <row r="4" spans="1:3">
      <c r="A4" s="115"/>
      <c r="C4" s="115">
        <v>350</v>
      </c>
    </row>
    <row r="5" spans="1:3">
      <c r="A5" s="115"/>
      <c r="C5" s="115"/>
    </row>
    <row r="6" spans="1:3">
      <c r="A6" s="115"/>
      <c r="C6" s="115"/>
    </row>
    <row r="7" spans="1:3">
      <c r="A7" s="115"/>
      <c r="C7" s="115"/>
    </row>
    <row r="8" spans="1:3">
      <c r="A8" s="115"/>
      <c r="C8" s="115"/>
    </row>
    <row r="9" spans="1:3">
      <c r="A9" s="115"/>
      <c r="C9" s="115"/>
    </row>
    <row r="10" spans="1:3">
      <c r="A10" s="115"/>
      <c r="C10" s="115"/>
    </row>
    <row r="12" spans="1:3">
      <c r="A12" s="117">
        <f>SUM(A3:A11)</f>
        <v>100</v>
      </c>
      <c r="B12" s="117"/>
      <c r="C12" s="117">
        <f t="shared" ref="C12" si="0">SUM(C3:C11)</f>
        <v>650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nas</vt:lpstr>
      <vt:lpstr>الرئيسية</vt:lpstr>
      <vt:lpstr>1</vt:lpstr>
      <vt:lpstr>2</vt:lpstr>
      <vt:lpstr>3</vt:lpstr>
      <vt:lpstr>4</vt:lpstr>
      <vt:lpstr>5</vt:lpstr>
      <vt:lpstr> 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ايام</vt:lpstr>
      <vt:lpstr>كميات</vt:lpstr>
      <vt:lpstr>مجموع</vt:lpstr>
      <vt:lpstr>دراسة</vt:lpstr>
      <vt:lpstr>سلف</vt:lpstr>
      <vt:lpstr>حيدر</vt:lpstr>
      <vt:lpstr>مسحوبات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2026-04-27T15:48:07Z</dcterms:modified>
</cp:coreProperties>
</file>