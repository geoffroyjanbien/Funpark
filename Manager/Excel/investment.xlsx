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53" documentId="13_ncr:1_{B55A21DC-7CE2-46AB-BDED-EE2FA4913875}" xr6:coauthVersionLast="47" xr6:coauthVersionMax="47" xr10:uidLastSave="{C11B1C57-E1D8-4F39-B1A9-CFDBB6C8D993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1" l="1"/>
  <c r="L34" i="1" s="1"/>
  <c r="K26" i="1"/>
  <c r="K27" i="1"/>
  <c r="K28" i="1"/>
  <c r="M26" i="1"/>
  <c r="M27" i="1"/>
  <c r="M28" i="1"/>
  <c r="K25" i="1" l="1"/>
  <c r="M25" i="1" s="1"/>
  <c r="K21" i="1" l="1"/>
  <c r="M21" i="1" s="1"/>
  <c r="K22" i="1"/>
  <c r="M22" i="1" s="1"/>
  <c r="K23" i="1"/>
  <c r="K24" i="1"/>
  <c r="M24" i="1" s="1"/>
  <c r="K29" i="1"/>
  <c r="M29" i="1" s="1"/>
  <c r="K18" i="1" l="1"/>
  <c r="K19" i="1"/>
  <c r="M19" i="1" s="1"/>
  <c r="K16" i="1"/>
  <c r="K15" i="1"/>
  <c r="M15" i="1" s="1"/>
  <c r="K17" i="1"/>
  <c r="K14" i="1"/>
  <c r="K10" i="1" l="1"/>
  <c r="M10" i="1" s="1"/>
  <c r="K11" i="1"/>
  <c r="M11" i="1" s="1"/>
  <c r="K12" i="1"/>
  <c r="K13" i="1"/>
  <c r="M13" i="1" s="1"/>
  <c r="K20" i="1"/>
  <c r="M20" i="1" s="1"/>
  <c r="K9" i="1"/>
  <c r="M9" i="1" s="1"/>
  <c r="K8" i="1"/>
  <c r="M8" i="1" s="1"/>
  <c r="K7" i="1" l="1"/>
  <c r="M7" i="1" s="1"/>
  <c r="K3" i="1"/>
  <c r="M3" i="1" s="1"/>
  <c r="K4" i="1"/>
  <c r="K5" i="1"/>
  <c r="K6" i="1"/>
  <c r="M6" i="1" s="1"/>
  <c r="K2" i="1"/>
  <c r="K32" i="1" l="1"/>
  <c r="I32" i="1" s="1"/>
  <c r="M2" i="1"/>
  <c r="G32" i="1" l="1"/>
  <c r="F32" i="1" s="1"/>
  <c r="M30" i="1"/>
  <c r="K37" i="1" s="1"/>
  <c r="J37" i="1" s="1"/>
  <c r="G37" i="1" l="1"/>
  <c r="G40" i="1" s="1"/>
  <c r="L32" i="1"/>
  <c r="F37" i="1" l="1"/>
  <c r="F40" i="1" s="1"/>
  <c r="K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5" authorId="0" shapeId="0" xr:uid="{E6EFF6E0-FBF1-4A92-8EFB-32CBD974D6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فاتورة دهان</t>
        </r>
      </text>
    </comment>
    <comment ref="I5" authorId="0" shapeId="0" xr:uid="{41F8026D-7B36-4E30-9097-843B76C2BF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فاتورة دهان</t>
        </r>
      </text>
    </comment>
    <comment ref="J5" authorId="0" shapeId="0" xr:uid="{4A2198C6-F9F9-4C39-A3F7-916CFA88CD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فاتورة دهان</t>
        </r>
      </text>
    </comment>
    <comment ref="D16" authorId="0" shapeId="0" xr:uid="{305A18D3-47AC-4193-9EB5-4EBB4F6067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أبو مصطفى</t>
        </r>
      </text>
    </comment>
    <comment ref="F16" authorId="0" shapeId="0" xr:uid="{10DD1B2C-1FC5-49C1-A75F-631CA21B99F7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ماجد الجوهري حفر كلمة funpark</t>
        </r>
      </text>
    </comment>
    <comment ref="G16" authorId="0" shapeId="0" xr:uid="{E1F5C648-AA0B-486E-8342-0F9F3ABFAD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</rPr>
          <t xml:space="preserve">
الحاج صالح
</t>
        </r>
      </text>
    </comment>
    <comment ref="H16" authorId="0" shapeId="0" xr:uid="{D59D6131-F483-49E8-818C-06273F8C3A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بلال الرشعيني</t>
        </r>
      </text>
    </comment>
    <comment ref="I16" authorId="0" shapeId="0" xr:uid="{B4A7EE9B-766A-4C69-AA46-A2A756690B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اسماعيل</t>
        </r>
      </text>
    </comment>
    <comment ref="J16" authorId="0" shapeId="0" xr:uid="{29914895-5378-4087-9BD6-427305C109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اسماعيل</t>
        </r>
      </text>
    </comment>
    <comment ref="B23" authorId="0" shapeId="0" xr:uid="{B4A1ABBA-C527-4CC4-AC76-3553D3D931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لمبات</t>
        </r>
      </text>
    </comment>
    <comment ref="E25" authorId="0" shapeId="0" xr:uid="{91478030-9A2F-4ED5-BE02-74D547D9D2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اجار بيك آب
</t>
        </r>
      </text>
    </comment>
    <comment ref="B26" authorId="0" shapeId="0" xr:uid="{AFDD19FE-0B12-43E4-9B8B-45EA86746E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حديد</t>
        </r>
      </text>
    </comment>
    <comment ref="B29" authorId="0" shapeId="0" xr:uid="{3AA81ECC-D7CE-43FE-B9AC-66CCBABC8EA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اجار بيك آب
</t>
        </r>
      </text>
    </comment>
  </commentList>
</comments>
</file>

<file path=xl/sharedStrings.xml><?xml version="1.0" encoding="utf-8"?>
<sst xmlns="http://schemas.openxmlformats.org/spreadsheetml/2006/main" count="63" uniqueCount="42">
  <si>
    <t>الطاقة الشمسية</t>
  </si>
  <si>
    <t>الاجمالي</t>
  </si>
  <si>
    <t>كراسي</t>
  </si>
  <si>
    <t>اشجار</t>
  </si>
  <si>
    <t>حداد</t>
  </si>
  <si>
    <t xml:space="preserve">خزان مياه </t>
  </si>
  <si>
    <t>لعبة</t>
  </si>
  <si>
    <t>ورد صناعي</t>
  </si>
  <si>
    <t>مراجيح</t>
  </si>
  <si>
    <t>ارمات و فلكس</t>
  </si>
  <si>
    <t>شحن العاب</t>
  </si>
  <si>
    <t>خزان مازوت</t>
  </si>
  <si>
    <t>جورة صحية</t>
  </si>
  <si>
    <t>حيدر مدفوعات</t>
  </si>
  <si>
    <t>شراكة</t>
  </si>
  <si>
    <t>صالة خارجية</t>
  </si>
  <si>
    <t>كاميرات</t>
  </si>
  <si>
    <t>شلال</t>
  </si>
  <si>
    <t>خشب واجهة</t>
  </si>
  <si>
    <t>مكتب</t>
  </si>
  <si>
    <t>قعدات خشب</t>
  </si>
  <si>
    <t>صوب مازوت</t>
  </si>
  <si>
    <t>بيسكلات كهربا</t>
  </si>
  <si>
    <t>السقف</t>
  </si>
  <si>
    <t>شومينه</t>
  </si>
  <si>
    <t>اجمالي الأصول</t>
  </si>
  <si>
    <t>النقدية</t>
  </si>
  <si>
    <t>مجمل الربح</t>
  </si>
  <si>
    <t>جعفر</t>
  </si>
  <si>
    <t>محمد</t>
  </si>
  <si>
    <t xml:space="preserve"> أصول شراكة</t>
  </si>
  <si>
    <t>استهلاك سنوي</t>
  </si>
  <si>
    <t>استهلاك جعفر</t>
  </si>
  <si>
    <t>استهلاك محمد</t>
  </si>
  <si>
    <t>الأرباح الصافية</t>
  </si>
  <si>
    <t>ديون متبقة</t>
  </si>
  <si>
    <t>حيدر</t>
  </si>
  <si>
    <t>زاهر</t>
  </si>
  <si>
    <t>عفش - كراسي و طاولات</t>
  </si>
  <si>
    <t>سجادة</t>
  </si>
  <si>
    <t>الحيط الخلفي</t>
  </si>
  <si>
    <t>بحرة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</si>
</sst>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_ ;[Red]\-[$$-409]#,##0\ "/>
    <numFmt numFmtId="165" formatCode="[$$-409]#,##0.00_);[Red]\([$$-409]#,##0.00\)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  <font>
      <b/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0" borderId="0" xfId="0" applyNumberFormat="1" applyFont="1"/>
    <xf numFmtId="0" fontId="0" fillId="0" borderId="1" xfId="0" applyBorder="1"/>
    <xf numFmtId="0" fontId="0" fillId="2" borderId="1" xfId="0" applyFill="1" applyBorder="1"/>
    <xf numFmtId="164" fontId="0" fillId="0" borderId="0" xfId="0" applyNumberFormat="1"/>
    <xf numFmtId="165" fontId="0" fillId="0" borderId="0" xfId="0" applyNumberFormat="1"/>
    <xf numFmtId="0" fontId="0" fillId="3" borderId="1" xfId="0" applyFill="1" applyBorder="1"/>
    <xf numFmtId="164" fontId="1" fillId="4" borderId="0" xfId="0" applyNumberFormat="1" applyFont="1" applyFill="1"/>
    <xf numFmtId="164" fontId="4" fillId="5" borderId="0" xfId="0" applyNumberFormat="1" applyFont="1" applyFill="1"/>
    <xf numFmtId="164" fontId="0" fillId="6" borderId="0" xfId="0" applyNumberFormat="1" applyFill="1"/>
    <xf numFmtId="0" fontId="0" fillId="7" borderId="0" xfId="0" applyFill="1"/>
    <xf numFmtId="0" fontId="0" fillId="8" borderId="1" xfId="0" applyFill="1" applyBorder="1"/>
    <xf numFmtId="0" fontId="5" fillId="0" borderId="1" xfId="0" applyFont="1" applyBorder="1"/>
    <xf numFmtId="0" fontId="5" fillId="0" borderId="2" xfId="0" applyFont="1" applyBorder="1"/>
    <xf numFmtId="0" fontId="0" fillId="0" borderId="2" xfId="0" applyBorder="1"/>
    <xf numFmtId="3" fontId="4" fillId="0" borderId="0" xfId="0" applyNumberFormat="1" applyFont="1"/>
    <xf numFmtId="3" fontId="4" fillId="9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8" borderId="1" xfId="0" applyFill="1" applyBorder="1" applyAlignment="1">
      <alignment horizontal="center"/>
    </xf>
    <xf numFmtId="3" fontId="4" fillId="8" borderId="1" xfId="0" applyNumberFormat="1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3" fontId="8" fillId="0" borderId="0" xfId="0" applyNumberFormat="1" applyFont="1" applyAlignment="1">
      <alignment horizontal="center"/>
    </xf>
    <xf numFmtId="0" fontId="0" fillId="9" borderId="1" xfId="0" applyFill="1" applyBorder="1" applyAlignment="1">
      <alignment horizontal="center"/>
    </xf>
    <xf numFmtId="16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rightToLeft="1" tabSelected="1" topLeftCell="A25" workbookViewId="0">
      <selection activeCell="E34" sqref="E34"/>
    </sheetView>
  </sheetViews>
  <sheetFormatPr defaultRowHeight="14.4" x14ac:dyDescent="0.3"/>
  <cols>
    <col min="1" max="1" width="15.88671875" customWidth="1"/>
    <col min="5" max="5" width="10.33203125" bestFit="1" customWidth="1"/>
    <col min="6" max="7" width="12.5546875" bestFit="1" customWidth="1"/>
    <col min="8" max="9" width="10.88671875" customWidth="1"/>
    <col min="10" max="10" width="10.88671875" bestFit="1" customWidth="1"/>
    <col min="11" max="11" width="19.44140625" bestFit="1" customWidth="1"/>
    <col min="13" max="13" width="9.88671875" bestFit="1" customWidth="1"/>
    <col min="15" max="15" width="9.88671875" bestFit="1" customWidth="1"/>
  </cols>
  <sheetData>
    <row r="1" spans="1:13" ht="21" x14ac:dyDescent="0.4">
      <c r="B1">
        <v>1</v>
      </c>
      <c r="C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 s="17" t="s">
        <v>1</v>
      </c>
    </row>
    <row r="2" spans="1:13" ht="21" x14ac:dyDescent="0.4">
      <c r="A2" t="s">
        <v>0</v>
      </c>
      <c r="B2" s="2">
        <v>5000</v>
      </c>
      <c r="C2" s="2">
        <v>3100</v>
      </c>
      <c r="D2" s="2">
        <v>1000</v>
      </c>
      <c r="E2" s="6">
        <v>1000</v>
      </c>
      <c r="F2" s="2"/>
      <c r="G2" s="2"/>
      <c r="H2" s="2"/>
      <c r="I2" s="2"/>
      <c r="J2" s="2"/>
      <c r="K2" s="1">
        <f>SUM(B2:J2)</f>
        <v>10100</v>
      </c>
      <c r="L2" t="s">
        <v>14</v>
      </c>
      <c r="M2" s="4">
        <f>K2</f>
        <v>10100</v>
      </c>
    </row>
    <row r="3" spans="1:13" ht="21" x14ac:dyDescent="0.4">
      <c r="A3" t="s">
        <v>2</v>
      </c>
      <c r="B3" s="2"/>
      <c r="C3" s="2">
        <v>750</v>
      </c>
      <c r="D3" s="2"/>
      <c r="E3" s="2"/>
      <c r="F3" s="2"/>
      <c r="G3" s="2"/>
      <c r="H3" s="2"/>
      <c r="I3" s="2"/>
      <c r="J3" s="2"/>
      <c r="K3" s="1">
        <f t="shared" ref="K3:K29" si="0">SUM(B3:J3)</f>
        <v>750</v>
      </c>
      <c r="L3" t="s">
        <v>14</v>
      </c>
      <c r="M3" s="4">
        <f>K3</f>
        <v>750</v>
      </c>
    </row>
    <row r="4" spans="1:13" ht="21" x14ac:dyDescent="0.4">
      <c r="A4" t="s">
        <v>3</v>
      </c>
      <c r="B4" s="2">
        <v>685</v>
      </c>
      <c r="C4" s="2">
        <v>262</v>
      </c>
      <c r="D4" s="2"/>
      <c r="E4" s="2"/>
      <c r="F4" s="2"/>
      <c r="G4" s="2"/>
      <c r="H4" s="2"/>
      <c r="I4" s="2"/>
      <c r="J4" s="2"/>
      <c r="K4" s="7">
        <f t="shared" si="0"/>
        <v>947</v>
      </c>
    </row>
    <row r="5" spans="1:13" ht="21" x14ac:dyDescent="0.4">
      <c r="A5" t="s">
        <v>4</v>
      </c>
      <c r="B5" s="2">
        <v>1000</v>
      </c>
      <c r="C5" s="2">
        <v>800</v>
      </c>
      <c r="D5" s="2">
        <v>50</v>
      </c>
      <c r="E5" s="2">
        <v>200</v>
      </c>
      <c r="F5" s="2">
        <v>1500</v>
      </c>
      <c r="G5" s="3">
        <v>350</v>
      </c>
      <c r="H5" s="3"/>
      <c r="I5" s="3"/>
      <c r="J5" s="3"/>
      <c r="K5" s="7">
        <f t="shared" si="0"/>
        <v>3900</v>
      </c>
    </row>
    <row r="6" spans="1:13" ht="21" x14ac:dyDescent="0.4">
      <c r="A6" t="s">
        <v>5</v>
      </c>
      <c r="B6" s="2">
        <v>110</v>
      </c>
      <c r="C6" s="2"/>
      <c r="D6" s="2"/>
      <c r="E6" s="2"/>
      <c r="F6" s="2"/>
      <c r="G6" s="2"/>
      <c r="H6" s="2"/>
      <c r="I6" s="2"/>
      <c r="J6" s="2"/>
      <c r="K6" s="1">
        <f t="shared" si="0"/>
        <v>110</v>
      </c>
      <c r="L6" t="s">
        <v>14</v>
      </c>
      <c r="M6" s="4">
        <f t="shared" ref="M6:M11" si="1">K6</f>
        <v>110</v>
      </c>
    </row>
    <row r="7" spans="1:13" ht="21" x14ac:dyDescent="0.4">
      <c r="A7" t="s">
        <v>6</v>
      </c>
      <c r="B7" s="2">
        <v>95</v>
      </c>
      <c r="C7" s="2"/>
      <c r="D7" s="2"/>
      <c r="E7" s="2"/>
      <c r="F7" s="2"/>
      <c r="G7" s="2"/>
      <c r="H7" s="2"/>
      <c r="I7" s="2"/>
      <c r="J7" s="2"/>
      <c r="K7" s="1">
        <f t="shared" si="0"/>
        <v>95</v>
      </c>
      <c r="L7" t="s">
        <v>14</v>
      </c>
      <c r="M7" s="4">
        <f t="shared" si="1"/>
        <v>95</v>
      </c>
    </row>
    <row r="8" spans="1:13" ht="21" x14ac:dyDescent="0.4">
      <c r="A8" t="s">
        <v>7</v>
      </c>
      <c r="B8" s="2">
        <v>150</v>
      </c>
      <c r="C8" s="2"/>
      <c r="D8" s="2"/>
      <c r="E8" s="2"/>
      <c r="F8" s="2"/>
      <c r="G8" s="2"/>
      <c r="H8" s="2"/>
      <c r="I8" s="2"/>
      <c r="J8" s="2"/>
      <c r="K8" s="1">
        <f t="shared" si="0"/>
        <v>150</v>
      </c>
      <c r="L8" t="s">
        <v>14</v>
      </c>
      <c r="M8" s="4">
        <f t="shared" si="1"/>
        <v>150</v>
      </c>
    </row>
    <row r="9" spans="1:13" ht="21" x14ac:dyDescent="0.4">
      <c r="A9" t="s">
        <v>8</v>
      </c>
      <c r="B9" s="2">
        <v>95</v>
      </c>
      <c r="C9" s="2"/>
      <c r="D9" s="2"/>
      <c r="E9" s="2"/>
      <c r="F9" s="2"/>
      <c r="G9" s="2"/>
      <c r="H9" s="2"/>
      <c r="I9" s="2"/>
      <c r="J9" s="2"/>
      <c r="K9" s="1">
        <f t="shared" si="0"/>
        <v>95</v>
      </c>
      <c r="L9" t="s">
        <v>14</v>
      </c>
      <c r="M9" s="4">
        <f t="shared" si="1"/>
        <v>95</v>
      </c>
    </row>
    <row r="10" spans="1:13" ht="21" x14ac:dyDescent="0.4">
      <c r="A10" t="s">
        <v>9</v>
      </c>
      <c r="B10" s="2">
        <v>176.5</v>
      </c>
      <c r="C10" s="2"/>
      <c r="D10" s="2"/>
      <c r="E10" s="2"/>
      <c r="F10" s="2"/>
      <c r="G10" s="2"/>
      <c r="H10" s="2"/>
      <c r="I10" s="2"/>
      <c r="J10" s="2"/>
      <c r="K10" s="1">
        <f t="shared" si="0"/>
        <v>176.5</v>
      </c>
      <c r="L10" t="s">
        <v>14</v>
      </c>
      <c r="M10" s="4">
        <f t="shared" si="1"/>
        <v>176.5</v>
      </c>
    </row>
    <row r="11" spans="1:13" ht="21" x14ac:dyDescent="0.4">
      <c r="A11" t="s">
        <v>10</v>
      </c>
      <c r="B11" s="2">
        <v>1300</v>
      </c>
      <c r="C11" s="12">
        <v>184</v>
      </c>
      <c r="D11" s="12"/>
      <c r="E11" s="2"/>
      <c r="F11" s="2"/>
      <c r="G11" s="2"/>
      <c r="H11" s="2"/>
      <c r="I11" s="2"/>
      <c r="J11" s="2"/>
      <c r="K11" s="1">
        <f t="shared" si="0"/>
        <v>1484</v>
      </c>
      <c r="L11" t="s">
        <v>14</v>
      </c>
      <c r="M11" s="4">
        <f t="shared" si="1"/>
        <v>1484</v>
      </c>
    </row>
    <row r="12" spans="1:13" ht="21" x14ac:dyDescent="0.4">
      <c r="A12" t="s">
        <v>11</v>
      </c>
      <c r="B12" s="2">
        <v>150</v>
      </c>
      <c r="C12" s="2"/>
      <c r="D12" s="2"/>
      <c r="E12" s="2"/>
      <c r="F12" s="2"/>
      <c r="G12" s="2"/>
      <c r="H12" s="2"/>
      <c r="I12" s="2"/>
      <c r="J12" s="2"/>
      <c r="K12" s="7">
        <f t="shared" si="0"/>
        <v>150</v>
      </c>
    </row>
    <row r="13" spans="1:13" ht="21" x14ac:dyDescent="0.4">
      <c r="A13" t="s">
        <v>12</v>
      </c>
      <c r="B13" s="2">
        <v>200</v>
      </c>
      <c r="C13" s="2"/>
      <c r="D13" s="2"/>
      <c r="E13" s="2"/>
      <c r="F13" s="2"/>
      <c r="G13" s="2"/>
      <c r="H13" s="2"/>
      <c r="I13" s="2"/>
      <c r="J13" s="2"/>
      <c r="K13" s="1">
        <f t="shared" si="0"/>
        <v>200</v>
      </c>
      <c r="L13" t="s">
        <v>14</v>
      </c>
      <c r="M13" s="4">
        <f t="shared" ref="M13:M29" si="2">K13</f>
        <v>200</v>
      </c>
    </row>
    <row r="14" spans="1:13" ht="21" x14ac:dyDescent="0.4">
      <c r="A14" t="s">
        <v>15</v>
      </c>
      <c r="B14" s="2">
        <v>150</v>
      </c>
      <c r="C14" s="11">
        <v>770</v>
      </c>
      <c r="D14" s="11"/>
      <c r="E14" s="2"/>
      <c r="F14" s="2"/>
      <c r="G14" s="2"/>
      <c r="H14" s="2"/>
      <c r="I14" s="2"/>
      <c r="J14" s="2"/>
      <c r="K14" s="7">
        <f t="shared" si="0"/>
        <v>920</v>
      </c>
      <c r="M14" s="4"/>
    </row>
    <row r="15" spans="1:13" ht="21" x14ac:dyDescent="0.4">
      <c r="A15" t="s">
        <v>16</v>
      </c>
      <c r="B15" s="2">
        <v>350</v>
      </c>
      <c r="C15" s="2"/>
      <c r="D15" s="2"/>
      <c r="E15" s="2"/>
      <c r="F15" s="2"/>
      <c r="G15" s="2"/>
      <c r="H15" s="2"/>
      <c r="I15" s="2"/>
      <c r="J15" s="2"/>
      <c r="K15" s="1">
        <f t="shared" si="0"/>
        <v>350</v>
      </c>
      <c r="L15" t="s">
        <v>14</v>
      </c>
      <c r="M15" s="4">
        <f t="shared" ref="M15" si="3">K15</f>
        <v>350</v>
      </c>
    </row>
    <row r="16" spans="1:13" ht="21" x14ac:dyDescent="0.4">
      <c r="A16" t="s">
        <v>17</v>
      </c>
      <c r="B16" s="2">
        <v>130</v>
      </c>
      <c r="C16" s="2">
        <v>300</v>
      </c>
      <c r="D16" s="12">
        <v>250</v>
      </c>
      <c r="E16" s="12">
        <v>106</v>
      </c>
      <c r="F16" s="12">
        <v>100</v>
      </c>
      <c r="G16" s="12">
        <v>130</v>
      </c>
      <c r="H16" s="12">
        <v>1500</v>
      </c>
      <c r="I16" s="2">
        <v>320</v>
      </c>
      <c r="J16" s="2">
        <v>637</v>
      </c>
      <c r="K16" s="7">
        <f t="shared" si="0"/>
        <v>3473</v>
      </c>
      <c r="M16" s="4"/>
    </row>
    <row r="17" spans="1:13" ht="21" x14ac:dyDescent="0.4">
      <c r="A17" t="s">
        <v>18</v>
      </c>
      <c r="B17" s="2">
        <v>260</v>
      </c>
      <c r="C17" s="2">
        <v>66</v>
      </c>
      <c r="D17" s="2"/>
      <c r="E17" s="2"/>
      <c r="F17" s="2"/>
      <c r="G17" s="2"/>
      <c r="H17" s="2"/>
      <c r="I17" s="2"/>
      <c r="J17" s="2"/>
      <c r="K17" s="7">
        <f t="shared" si="0"/>
        <v>326</v>
      </c>
      <c r="M17" s="4"/>
    </row>
    <row r="18" spans="1:13" ht="21" x14ac:dyDescent="0.4">
      <c r="A18" t="s">
        <v>19</v>
      </c>
      <c r="B18" s="12">
        <v>110</v>
      </c>
      <c r="C18" s="2"/>
      <c r="D18" s="2"/>
      <c r="E18" s="2"/>
      <c r="F18" s="2"/>
      <c r="G18" s="2"/>
      <c r="H18" s="2"/>
      <c r="I18" s="2"/>
      <c r="J18" s="2"/>
      <c r="K18" s="7">
        <f t="shared" si="0"/>
        <v>110</v>
      </c>
      <c r="M18" s="4"/>
    </row>
    <row r="19" spans="1:13" ht="21" x14ac:dyDescent="0.4">
      <c r="A19" t="s">
        <v>20</v>
      </c>
      <c r="B19" s="13">
        <v>500</v>
      </c>
      <c r="C19" s="14"/>
      <c r="D19" s="14"/>
      <c r="E19" s="14"/>
      <c r="F19" s="14"/>
      <c r="G19" s="14"/>
      <c r="H19" s="14"/>
      <c r="I19" s="14"/>
      <c r="J19" s="14"/>
      <c r="K19" s="25">
        <f t="shared" si="0"/>
        <v>500</v>
      </c>
      <c r="L19" t="s">
        <v>14</v>
      </c>
      <c r="M19" s="4">
        <f t="shared" si="2"/>
        <v>500</v>
      </c>
    </row>
    <row r="20" spans="1:13" ht="21" x14ac:dyDescent="0.4">
      <c r="A20" s="2" t="s">
        <v>13</v>
      </c>
      <c r="B20" s="6">
        <v>4500</v>
      </c>
      <c r="C20" s="12">
        <v>2915</v>
      </c>
      <c r="D20" s="12"/>
      <c r="E20" s="2"/>
      <c r="F20" s="2"/>
      <c r="G20" s="2"/>
      <c r="H20" s="2"/>
      <c r="I20" s="2"/>
      <c r="J20" s="2"/>
      <c r="K20" s="1">
        <f t="shared" si="0"/>
        <v>7415</v>
      </c>
      <c r="L20" t="s">
        <v>14</v>
      </c>
      <c r="M20" s="4">
        <f t="shared" si="2"/>
        <v>7415</v>
      </c>
    </row>
    <row r="21" spans="1:13" ht="21" x14ac:dyDescent="0.4">
      <c r="A21" s="2" t="s">
        <v>21</v>
      </c>
      <c r="B21" s="2">
        <v>2660</v>
      </c>
      <c r="C21" s="12"/>
      <c r="D21" s="12"/>
      <c r="E21" s="2"/>
      <c r="F21" s="2"/>
      <c r="G21" s="2"/>
      <c r="H21" s="2"/>
      <c r="I21" s="2"/>
      <c r="J21" s="2"/>
      <c r="K21" s="1">
        <f t="shared" si="0"/>
        <v>2660</v>
      </c>
      <c r="L21" t="s">
        <v>14</v>
      </c>
      <c r="M21" s="4">
        <f t="shared" si="2"/>
        <v>2660</v>
      </c>
    </row>
    <row r="22" spans="1:13" ht="21" x14ac:dyDescent="0.4">
      <c r="A22" s="2" t="s">
        <v>22</v>
      </c>
      <c r="B22" s="2">
        <v>696</v>
      </c>
      <c r="C22" s="12"/>
      <c r="D22" s="12"/>
      <c r="E22" s="2"/>
      <c r="F22" s="2"/>
      <c r="G22" s="2"/>
      <c r="H22" s="2"/>
      <c r="I22" s="2"/>
      <c r="J22" s="2"/>
      <c r="K22" s="1">
        <f t="shared" si="0"/>
        <v>696</v>
      </c>
      <c r="L22" t="s">
        <v>14</v>
      </c>
      <c r="M22" s="4">
        <f t="shared" si="2"/>
        <v>696</v>
      </c>
    </row>
    <row r="23" spans="1:13" ht="21" x14ac:dyDescent="0.4">
      <c r="A23" s="2" t="s">
        <v>23</v>
      </c>
      <c r="B23" s="6">
        <v>232</v>
      </c>
      <c r="C23" s="2">
        <v>1978</v>
      </c>
      <c r="D23" s="12">
        <v>400</v>
      </c>
      <c r="E23" s="12">
        <v>100</v>
      </c>
      <c r="F23" s="2">
        <v>186</v>
      </c>
      <c r="G23" s="2"/>
      <c r="H23" s="2"/>
      <c r="I23" s="2"/>
      <c r="J23" s="2"/>
      <c r="K23" s="7">
        <f t="shared" si="0"/>
        <v>2896</v>
      </c>
      <c r="M23" s="4"/>
    </row>
    <row r="24" spans="1:13" ht="21" x14ac:dyDescent="0.4">
      <c r="A24" s="2" t="s">
        <v>24</v>
      </c>
      <c r="B24" s="2">
        <v>360</v>
      </c>
      <c r="C24" s="12">
        <v>80</v>
      </c>
      <c r="D24" s="12">
        <v>110</v>
      </c>
      <c r="F24" s="2"/>
      <c r="G24" s="2"/>
      <c r="H24" s="2"/>
      <c r="I24" s="2"/>
      <c r="J24" s="2"/>
      <c r="K24" s="1">
        <f t="shared" si="0"/>
        <v>550</v>
      </c>
      <c r="L24" t="s">
        <v>14</v>
      </c>
      <c r="M24" s="4">
        <f t="shared" si="2"/>
        <v>550</v>
      </c>
    </row>
    <row r="25" spans="1:13" ht="21" x14ac:dyDescent="0.4">
      <c r="A25" s="2" t="s">
        <v>38</v>
      </c>
      <c r="B25" s="2">
        <v>5500</v>
      </c>
      <c r="C25" s="12">
        <v>100</v>
      </c>
      <c r="D25" s="2">
        <v>75</v>
      </c>
      <c r="E25" s="6">
        <v>410</v>
      </c>
      <c r="F25" s="2"/>
      <c r="G25" s="2"/>
      <c r="H25" s="2"/>
      <c r="I25" s="2"/>
      <c r="J25" s="2"/>
      <c r="K25" s="1">
        <f t="shared" si="0"/>
        <v>6085</v>
      </c>
      <c r="L25" t="s">
        <v>14</v>
      </c>
      <c r="M25" s="4">
        <f t="shared" si="2"/>
        <v>6085</v>
      </c>
    </row>
    <row r="26" spans="1:13" ht="21" x14ac:dyDescent="0.4">
      <c r="A26" s="2" t="s">
        <v>40</v>
      </c>
      <c r="B26" s="2">
        <v>183</v>
      </c>
      <c r="C26" s="12"/>
      <c r="D26" s="2"/>
      <c r="E26" s="2"/>
      <c r="F26" s="2"/>
      <c r="G26" s="2"/>
      <c r="H26" s="2"/>
      <c r="I26" s="2"/>
      <c r="J26" s="2"/>
      <c r="K26" s="1">
        <f t="shared" si="0"/>
        <v>183</v>
      </c>
      <c r="L26" t="s">
        <v>14</v>
      </c>
      <c r="M26" s="4">
        <f t="shared" si="2"/>
        <v>183</v>
      </c>
    </row>
    <row r="27" spans="1:13" ht="21" x14ac:dyDescent="0.4">
      <c r="A27" s="2" t="s">
        <v>39</v>
      </c>
      <c r="B27" s="2">
        <v>40</v>
      </c>
      <c r="C27" s="12"/>
      <c r="D27" s="2"/>
      <c r="E27" s="2"/>
      <c r="F27" s="2"/>
      <c r="G27" s="2"/>
      <c r="H27" s="2"/>
      <c r="I27" s="2"/>
      <c r="J27" s="2"/>
      <c r="K27" s="1">
        <f t="shared" si="0"/>
        <v>40</v>
      </c>
      <c r="L27" t="s">
        <v>14</v>
      </c>
      <c r="M27" s="4">
        <f t="shared" si="2"/>
        <v>40</v>
      </c>
    </row>
    <row r="28" spans="1:13" ht="21" x14ac:dyDescent="0.4">
      <c r="A28" s="2" t="s">
        <v>41</v>
      </c>
      <c r="B28" s="2">
        <v>270</v>
      </c>
      <c r="C28" s="12"/>
      <c r="D28" s="2"/>
      <c r="E28" s="2"/>
      <c r="F28" s="2"/>
      <c r="G28" s="2"/>
      <c r="H28" s="2"/>
      <c r="I28" s="2"/>
      <c r="J28" s="2"/>
      <c r="K28" s="1">
        <f t="shared" si="0"/>
        <v>270</v>
      </c>
      <c r="L28" t="s">
        <v>14</v>
      </c>
      <c r="M28" s="4">
        <f t="shared" si="2"/>
        <v>270</v>
      </c>
    </row>
    <row r="29" spans="1:13" ht="21" x14ac:dyDescent="0.4">
      <c r="A29" s="2"/>
      <c r="B29" s="6"/>
      <c r="C29" s="12"/>
      <c r="D29" s="12"/>
      <c r="E29" s="2"/>
      <c r="F29" s="2"/>
      <c r="G29" s="2"/>
      <c r="H29" s="2"/>
      <c r="I29" s="2"/>
      <c r="J29" s="2"/>
      <c r="K29" s="1">
        <f t="shared" si="0"/>
        <v>0</v>
      </c>
      <c r="L29" t="s">
        <v>14</v>
      </c>
      <c r="M29" s="4">
        <f t="shared" si="2"/>
        <v>0</v>
      </c>
    </row>
    <row r="30" spans="1:13" ht="21" x14ac:dyDescent="0.4">
      <c r="K30" s="1"/>
      <c r="M30" s="8">
        <f>SUM(M2:M29)</f>
        <v>31909.5</v>
      </c>
    </row>
    <row r="31" spans="1:13" ht="21" x14ac:dyDescent="0.4">
      <c r="F31" s="18" t="s">
        <v>29</v>
      </c>
      <c r="G31" s="18" t="s">
        <v>28</v>
      </c>
      <c r="I31" t="s">
        <v>27</v>
      </c>
      <c r="J31" t="s">
        <v>26</v>
      </c>
      <c r="K31" s="1" t="s">
        <v>25</v>
      </c>
      <c r="M31" s="8"/>
    </row>
    <row r="32" spans="1:13" ht="21" x14ac:dyDescent="0.4">
      <c r="F32" s="19">
        <f>I32-G32</f>
        <v>22493.299570000003</v>
      </c>
      <c r="G32" s="19">
        <f>I32*0.7</f>
        <v>52484.36566333333</v>
      </c>
      <c r="I32" s="4">
        <f>J32+K32</f>
        <v>74977.665233333333</v>
      </c>
      <c r="J32" s="9">
        <v>30346.16523333334</v>
      </c>
      <c r="K32" s="1">
        <f>SUM(K2:K30)</f>
        <v>44631.5</v>
      </c>
      <c r="L32" s="10">
        <f>+(M30*0.3)/5</f>
        <v>1914.5700000000002</v>
      </c>
      <c r="M32" s="4"/>
    </row>
    <row r="33" spans="1:15" ht="15.6" x14ac:dyDescent="0.3">
      <c r="F33" s="19"/>
      <c r="G33" s="19"/>
    </row>
    <row r="34" spans="1:15" ht="15.6" x14ac:dyDescent="0.3">
      <c r="F34" s="19"/>
      <c r="G34" s="19"/>
      <c r="K34">
        <f>L34/5</f>
        <v>1914.5700000000002</v>
      </c>
      <c r="L34">
        <f>+M34*0.3</f>
        <v>9572.85</v>
      </c>
      <c r="M34" s="4">
        <f>SUM(M2:M29)</f>
        <v>31909.5</v>
      </c>
    </row>
    <row r="35" spans="1:15" ht="15.6" x14ac:dyDescent="0.3">
      <c r="F35" s="19"/>
      <c r="G35" s="19"/>
    </row>
    <row r="36" spans="1:15" ht="15.6" x14ac:dyDescent="0.3">
      <c r="F36" s="23" t="s">
        <v>33</v>
      </c>
      <c r="G36" s="23" t="s">
        <v>32</v>
      </c>
      <c r="J36" s="20" t="s">
        <v>31</v>
      </c>
      <c r="K36" s="20" t="s">
        <v>30</v>
      </c>
      <c r="M36" s="5"/>
      <c r="O36" s="5"/>
    </row>
    <row r="37" spans="1:15" ht="21" x14ac:dyDescent="0.4">
      <c r="F37" s="23">
        <f>J37-G37</f>
        <v>1914.5700000000006</v>
      </c>
      <c r="G37" s="23">
        <f>J37*0.7</f>
        <v>4467.329999999999</v>
      </c>
      <c r="J37" s="21">
        <f>K37/5</f>
        <v>6381.9</v>
      </c>
      <c r="K37" s="22">
        <f>M30</f>
        <v>31909.5</v>
      </c>
      <c r="O37" s="5"/>
    </row>
    <row r="38" spans="1:15" ht="15.6" x14ac:dyDescent="0.3">
      <c r="F38" s="15"/>
      <c r="G38" s="15"/>
    </row>
    <row r="39" spans="1:15" ht="18.600000000000001" customHeight="1" x14ac:dyDescent="0.3">
      <c r="E39" s="24" t="s">
        <v>34</v>
      </c>
      <c r="F39" s="16" t="s">
        <v>29</v>
      </c>
      <c r="G39" s="16" t="s">
        <v>28</v>
      </c>
    </row>
    <row r="40" spans="1:15" ht="18.600000000000001" customHeight="1" x14ac:dyDescent="0.3">
      <c r="E40" s="24"/>
      <c r="F40" s="16">
        <f>F32-F37</f>
        <v>20578.729570000003</v>
      </c>
      <c r="G40" s="16">
        <f>G32-G37</f>
        <v>48017.035663333329</v>
      </c>
      <c r="K40" s="4"/>
    </row>
    <row r="41" spans="1:15" x14ac:dyDescent="0.3">
      <c r="K41" s="5"/>
    </row>
    <row r="42" spans="1:15" x14ac:dyDescent="0.3">
      <c r="K42" s="4"/>
    </row>
    <row r="46" spans="1:15" x14ac:dyDescent="0.3">
      <c r="A46" t="s">
        <v>35</v>
      </c>
    </row>
    <row r="47" spans="1:15" x14ac:dyDescent="0.3">
      <c r="A47" t="s">
        <v>36</v>
      </c>
      <c r="B47">
        <v>5500</v>
      </c>
    </row>
    <row r="48" spans="1:15" x14ac:dyDescent="0.3">
      <c r="A48" t="s">
        <v>37</v>
      </c>
      <c r="B48">
        <v>2650</v>
      </c>
      <c r="K48" s="4"/>
    </row>
    <row r="51" spans="7:11" x14ac:dyDescent="0.3">
      <c r="G51" s="5"/>
      <c r="H51" s="5"/>
      <c r="I51" s="5"/>
      <c r="J51" s="5"/>
      <c r="K51" s="4"/>
    </row>
  </sheetData>
  <mergeCells count="1">
    <mergeCell ref="E39:E40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2025-11-03T20:26:04Z</dcterms:modified>
</cp:coreProperties>
</file>